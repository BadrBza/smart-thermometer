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badr\Downloads\"/>
    </mc:Choice>
  </mc:AlternateContent>
  <xr:revisionPtr revIDLastSave="0" documentId="13_ncr:1_{A5A7BD40-4BFD-4072-997F-41FC646AF2CB}" xr6:coauthVersionLast="47" xr6:coauthVersionMax="47" xr10:uidLastSave="{00000000-0000-0000-0000-000000000000}"/>
  <bookViews>
    <workbookView xWindow="490" yWindow="220" windowWidth="20170" windowHeight="12300" activeTab="3" xr2:uid="{00000000-000D-0000-FFFF-FFFF00000000}"/>
  </bookViews>
  <sheets>
    <sheet name="Eval 1" sheetId="1" r:id="rId1"/>
    <sheet name="Eval 2" sheetId="2" r:id="rId2"/>
    <sheet name="Eval 3" sheetId="3" r:id="rId3"/>
    <sheet name="Eval 4" sheetId="4" r:id="rId4"/>
    <sheet name="recapitulatif 1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5" l="1"/>
  <c r="N39" i="4"/>
  <c r="N33" i="4"/>
  <c r="N27" i="4"/>
  <c r="N20" i="4"/>
  <c r="N14" i="4"/>
  <c r="K12" i="4"/>
  <c r="K8" i="4"/>
  <c r="N5" i="4" s="1"/>
  <c r="N39" i="3"/>
  <c r="N33" i="3"/>
  <c r="N27" i="3"/>
  <c r="N20" i="3"/>
  <c r="N14" i="3"/>
  <c r="K12" i="3"/>
  <c r="K8" i="3"/>
  <c r="N5" i="3" s="1"/>
  <c r="N39" i="2"/>
  <c r="N33" i="2"/>
  <c r="N27" i="2"/>
  <c r="N20" i="2"/>
  <c r="N14" i="2"/>
  <c r="K12" i="2"/>
  <c r="K8" i="2"/>
  <c r="N5" i="2"/>
  <c r="O3" i="2" s="1"/>
  <c r="Q3" i="2"/>
  <c r="P3" i="2"/>
  <c r="N3" i="2"/>
  <c r="N39" i="1"/>
  <c r="N33" i="1"/>
  <c r="N27" i="1"/>
  <c r="N20" i="1"/>
  <c r="N14" i="1"/>
  <c r="K12" i="1"/>
  <c r="N5" i="1" s="1"/>
  <c r="K8" i="1"/>
  <c r="Q3" i="4" l="1"/>
  <c r="E5" i="5" s="1"/>
  <c r="P3" i="4"/>
  <c r="D5" i="5" s="1"/>
  <c r="R3" i="4"/>
  <c r="F5" i="5" s="1"/>
  <c r="P3" i="3"/>
  <c r="D4" i="5" s="1"/>
  <c r="N3" i="3"/>
  <c r="R3" i="3"/>
  <c r="F4" i="5" s="1"/>
  <c r="O3" i="3"/>
  <c r="C4" i="5" s="1"/>
  <c r="K58" i="3"/>
  <c r="Q3" i="3"/>
  <c r="E4" i="5" s="1"/>
  <c r="N3" i="1"/>
  <c r="N45" i="1" s="1"/>
  <c r="K58" i="1"/>
  <c r="R3" i="1"/>
  <c r="Q3" i="1"/>
  <c r="P3" i="1"/>
  <c r="O3" i="1"/>
  <c r="R3" i="2"/>
  <c r="N45" i="2" s="1"/>
  <c r="K58" i="2"/>
  <c r="N3" i="4"/>
  <c r="O3" i="4"/>
  <c r="C5" i="5" s="1"/>
  <c r="N45" i="3" l="1"/>
  <c r="D7" i="5"/>
  <c r="N45" i="4"/>
  <c r="K58" i="4"/>
  <c r="E7" i="5"/>
  <c r="C7" i="5"/>
  <c r="F7" i="5"/>
  <c r="B4" i="5"/>
  <c r="B5" i="5"/>
  <c r="G5" i="5" s="1"/>
  <c r="B7" i="5" l="1"/>
  <c r="G7" i="5" s="1"/>
  <c r="G4" i="5"/>
  <c r="G9" i="5" l="1"/>
  <c r="G1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hendrikx</author>
    <author>Nicolas Hendrikx</author>
  </authors>
  <commentList>
    <comment ref="N3" authorId="0" shapeId="0" xr:uid="{00000000-0006-0000-0000-000001000000}">
      <text>
        <r>
          <rPr>
            <sz val="11"/>
            <color theme="1"/>
            <rFont val="Calibri"/>
            <family val="2"/>
            <scheme val="minor"/>
          </rPr>
          <t>nicolas hendrikx:
Idée : valorisons les degrés maitrise si au final les étudiants ont validé tous leurs acquis</t>
        </r>
      </text>
    </comment>
    <comment ref="Q7" authorId="1" shapeId="0" xr:uid="{00000000-0006-0000-0000-000002000000}">
      <text>
        <r>
          <rPr>
            <sz val="11"/>
            <color theme="1"/>
            <rFont val="Calibri"/>
            <family val="2"/>
            <scheme val="minor"/>
          </rPr>
          <t>Nicolas Hendrikx:
Enseignant, si tu constates un soucis, décris dans cette colonne</t>
        </r>
      </text>
    </comment>
    <comment ref="K8" authorId="1" shapeId="0" xr:uid="{00000000-0006-0000-0000-000003000000}">
      <text>
        <r>
          <rPr>
            <sz val="11"/>
            <color theme="1"/>
            <rFont val="Calibri"/>
            <family val="2"/>
            <scheme val="minor"/>
          </rPr>
          <t>Nicolas Hendrikx:
Les cellules mises en forme de cette façon ont leurs valeurs qui dérivent d'autres cellules</t>
        </r>
      </text>
    </comment>
    <comment ref="N12" authorId="0" shapeId="0" xr:uid="{00000000-0006-0000-0000-000004000000}">
      <text>
        <r>
          <rPr>
            <sz val="11"/>
            <color theme="1"/>
            <rFont val="Calibri"/>
            <family val="2"/>
            <scheme val="minor"/>
          </rPr>
          <t>nicolas hendrikx:
Indiquez le nombre de tests d'acceptation non-observés. Au-delà de la valeur de O12, l'itération n'est pas recevable.</t>
        </r>
      </text>
    </comment>
    <comment ref="A16" authorId="1" shapeId="0" xr:uid="{00000000-0006-0000-0000-000005000000}">
      <text>
        <r>
          <rPr>
            <sz val="11"/>
            <color theme="1"/>
            <rFont val="Calibri"/>
            <family val="2"/>
            <scheme val="minor"/>
          </rPr>
          <t>Nicolas Hendrikx:
Mettez une croix si vous respectez le critères
Mettez la colonne Observé à 1 si vous respectez tous les critères</t>
        </r>
      </text>
    </comment>
    <comment ref="A45" authorId="0" shapeId="0" xr:uid="{00000000-0006-0000-0000-000006000000}">
      <text>
        <r>
          <rPr>
            <sz val="11"/>
            <color theme="1"/>
            <rFont val="Calibri"/>
            <family val="2"/>
            <scheme val="minor"/>
          </rPr>
          <t>nicolas hendrikx:
Adapter les critères pour tenir les DP (Observables,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nicolas hendrikx</author>
    <author>Nicolas Hendrikx</author>
  </authors>
  <commentList>
    <comment ref="N3" authorId="0" shapeId="0" xr:uid="{00000000-0006-0000-0100-000001000000}">
      <text>
        <r>
          <rPr>
            <sz val="11"/>
            <color theme="1"/>
            <rFont val="Calibri"/>
            <family val="2"/>
            <scheme val="minor"/>
          </rPr>
          <t>nicolas hendrikx:
Idée : valorisons les degrés maitrise si au final les étudiants ont validé tous leurs acquis</t>
        </r>
      </text>
    </comment>
    <comment ref="Q7" authorId="1" shapeId="0" xr:uid="{00000000-0006-0000-0100-000002000000}">
      <text>
        <r>
          <rPr>
            <sz val="11"/>
            <color theme="1"/>
            <rFont val="Calibri"/>
            <family val="2"/>
            <scheme val="minor"/>
          </rPr>
          <t>Nicolas Hendrikx:
Enseignant, si tu constates un soucis, décris dans cette colonne</t>
        </r>
      </text>
    </comment>
    <comment ref="K8" authorId="1" shapeId="0" xr:uid="{00000000-0006-0000-0100-000003000000}">
      <text>
        <r>
          <rPr>
            <sz val="11"/>
            <color theme="1"/>
            <rFont val="Calibri"/>
            <family val="2"/>
            <scheme val="minor"/>
          </rPr>
          <t>Nicolas Hendrikx:
Les cellules mises en forme de cette façon ont leurs valeurs qui dérivent d'autres cellules</t>
        </r>
      </text>
    </comment>
    <comment ref="N12" authorId="0" shapeId="0" xr:uid="{00000000-0006-0000-0100-000004000000}">
      <text>
        <r>
          <rPr>
            <sz val="11"/>
            <color theme="1"/>
            <rFont val="Calibri"/>
            <family val="2"/>
            <scheme val="minor"/>
          </rPr>
          <t>nicolas hendrikx:
Indiquez le nombre de tests d'acceptation non-observés. Au-delà de la valeur de O12, l'itération n'est pas recevable.</t>
        </r>
      </text>
    </comment>
    <comment ref="A16" authorId="1" shapeId="0" xr:uid="{00000000-0006-0000-0100-000005000000}">
      <text>
        <r>
          <rPr>
            <sz val="11"/>
            <color theme="1"/>
            <rFont val="Calibri"/>
            <family val="2"/>
            <scheme val="minor"/>
          </rPr>
          <t>Nicolas Hendrikx:
Mettez une croix si vous respectez le critères
Mettez la colonne Observé à 1 si vous respectez tous les critères</t>
        </r>
      </text>
    </comment>
    <comment ref="A45" authorId="0" shapeId="0" xr:uid="{00000000-0006-0000-0100-000006000000}">
      <text>
        <r>
          <rPr>
            <sz val="11"/>
            <color theme="1"/>
            <rFont val="Calibri"/>
            <family val="2"/>
            <scheme val="minor"/>
          </rPr>
          <t>nicolas hendrikx:
Adapter les critères pour tenir les DP (Observables,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nicolas hendrikx</author>
    <author>Nicolas Hendrikx</author>
  </authors>
  <commentList>
    <comment ref="N3" authorId="0" shapeId="0" xr:uid="{00000000-0006-0000-0200-000001000000}">
      <text>
        <r>
          <rPr>
            <sz val="11"/>
            <color theme="1"/>
            <rFont val="Calibri"/>
            <family val="2"/>
            <scheme val="minor"/>
          </rPr>
          <t>nicolas hendrikx:
Idée : valorisons les degrés maitrise si au final les étudiants ont validé tous leurs acquis</t>
        </r>
      </text>
    </comment>
    <comment ref="Q7" authorId="1" shapeId="0" xr:uid="{00000000-0006-0000-0200-000002000000}">
      <text>
        <r>
          <rPr>
            <sz val="11"/>
            <color theme="1"/>
            <rFont val="Calibri"/>
            <family val="2"/>
            <scheme val="minor"/>
          </rPr>
          <t>Nicolas Hendrikx:
Enseignant, si tu constates un soucis, décris dans cette colonne</t>
        </r>
      </text>
    </comment>
    <comment ref="K8" authorId="1" shapeId="0" xr:uid="{00000000-0006-0000-0200-000003000000}">
      <text>
        <r>
          <rPr>
            <sz val="11"/>
            <color theme="1"/>
            <rFont val="Calibri"/>
            <family val="2"/>
            <scheme val="minor"/>
          </rPr>
          <t>Nicolas Hendrikx:
Les cellules mises en forme de cette façon ont leurs valeurs qui dérivent d'autres cellules</t>
        </r>
      </text>
    </comment>
    <comment ref="N12" authorId="0" shapeId="0" xr:uid="{00000000-0006-0000-0200-000004000000}">
      <text>
        <r>
          <rPr>
            <sz val="11"/>
            <color theme="1"/>
            <rFont val="Calibri"/>
            <family val="2"/>
            <scheme val="minor"/>
          </rPr>
          <t>nicolas hendrikx:
Indiquez le nombre de tests d'acceptation non-observés. Au-delà de la valeur de O12, l'itération n'est pas recevable.</t>
        </r>
      </text>
    </comment>
    <comment ref="A16" authorId="1" shapeId="0" xr:uid="{00000000-0006-0000-0200-000005000000}">
      <text>
        <r>
          <rPr>
            <sz val="11"/>
            <color theme="1"/>
            <rFont val="Calibri"/>
            <family val="2"/>
            <scheme val="minor"/>
          </rPr>
          <t>Nicolas Hendrikx:
Mettez une croix si vous respectez le critères
Mettez la colonne Observé à 1 si vous respectez tous les critères</t>
        </r>
      </text>
    </comment>
    <comment ref="A45" authorId="0" shapeId="0" xr:uid="{00000000-0006-0000-0200-000006000000}">
      <text>
        <r>
          <rPr>
            <sz val="11"/>
            <color theme="1"/>
            <rFont val="Calibri"/>
            <family val="2"/>
            <scheme val="minor"/>
          </rPr>
          <t>nicolas hendrikx:
Adapter les critères pour tenir les DP (Observables, etc.)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nicolas hendrikx</author>
    <author>Nicolas Hendrikx</author>
  </authors>
  <commentList>
    <comment ref="N3" authorId="0" shapeId="0" xr:uid="{00000000-0006-0000-0300-000001000000}">
      <text>
        <r>
          <rPr>
            <sz val="11"/>
            <color theme="1"/>
            <rFont val="Calibri"/>
            <family val="2"/>
            <scheme val="minor"/>
          </rPr>
          <t>nicolas hendrikx:
Idée : valorisons les degrés maitrise si au final les étudiants ont validé tous leurs acquis</t>
        </r>
      </text>
    </comment>
    <comment ref="Q7" authorId="1" shapeId="0" xr:uid="{00000000-0006-0000-0300-000002000000}">
      <text>
        <r>
          <rPr>
            <sz val="11"/>
            <color theme="1"/>
            <rFont val="Calibri"/>
            <family val="2"/>
            <scheme val="minor"/>
          </rPr>
          <t>Nicolas Hendrikx:
Enseignant, si tu constates un soucis, décris dans cette colonne</t>
        </r>
      </text>
    </comment>
    <comment ref="K8" authorId="1" shapeId="0" xr:uid="{00000000-0006-0000-0300-000003000000}">
      <text>
        <r>
          <rPr>
            <sz val="11"/>
            <color theme="1"/>
            <rFont val="Calibri"/>
            <family val="2"/>
            <scheme val="minor"/>
          </rPr>
          <t>Nicolas Hendrikx:
Les cellules mises en forme de cette façon ont leurs valeurs qui dérivent d'autres cellules</t>
        </r>
      </text>
    </comment>
    <comment ref="N12" authorId="0" shapeId="0" xr:uid="{00000000-0006-0000-0300-000004000000}">
      <text>
        <r>
          <rPr>
            <sz val="11"/>
            <color theme="1"/>
            <rFont val="Calibri"/>
            <family val="2"/>
            <scheme val="minor"/>
          </rPr>
          <t>nicolas hendrikx:
Indiquez le nombre de tests d'acceptation non-observés. Au-delà de la valeur de O12, l'itération n'est pas recevable.</t>
        </r>
      </text>
    </comment>
    <comment ref="A16" authorId="1" shapeId="0" xr:uid="{00000000-0006-0000-0300-000005000000}">
      <text>
        <r>
          <rPr>
            <sz val="11"/>
            <color theme="1"/>
            <rFont val="Calibri"/>
            <family val="2"/>
            <scheme val="minor"/>
          </rPr>
          <t>Nicolas Hendrikx:
Mettez une croix si vous respectez le critères
Mettez la colonne Observé à 1 si vous respectez tous les critères</t>
        </r>
      </text>
    </comment>
    <comment ref="A45" authorId="0" shapeId="0" xr:uid="{00000000-0006-0000-0300-000006000000}">
      <text>
        <r>
          <rPr>
            <sz val="11"/>
            <color theme="1"/>
            <rFont val="Calibri"/>
            <family val="2"/>
            <scheme val="minor"/>
          </rPr>
          <t>nicolas hendrikx:
Adapter les critères pour tenir les DP (Observables, etc.)</t>
        </r>
      </text>
    </comment>
  </commentList>
</comments>
</file>

<file path=xl/sharedStrings.xml><?xml version="1.0" encoding="utf-8"?>
<sst xmlns="http://schemas.openxmlformats.org/spreadsheetml/2006/main" count="467" uniqueCount="202">
  <si>
    <t>Activité intégrative : itération 1</t>
  </si>
  <si>
    <t>Acquis évalués :</t>
  </si>
  <si>
    <t>AA 1</t>
  </si>
  <si>
    <t>AA 2</t>
  </si>
  <si>
    <t>AA 3</t>
  </si>
  <si>
    <t>AA 4</t>
  </si>
  <si>
    <t>AA5</t>
  </si>
  <si>
    <t>Nom et prénom :</t>
  </si>
  <si>
    <t>Votre nom et Votre prénom</t>
  </si>
  <si>
    <t>Commande d'exécution de l'application :</t>
  </si>
  <si>
    <t xml:space="preserve">gradle run --args="--config-file salon.ini"     </t>
  </si>
  <si>
    <t>Statut (Observé=1, Pas observé=0)</t>
  </si>
  <si>
    <t>Matricule :</t>
  </si>
  <si>
    <t>Votre matricule</t>
  </si>
  <si>
    <t>Préalable</t>
  </si>
  <si>
    <t>Observé
(oui=1, non = 0)</t>
  </si>
  <si>
    <t>Justification de l'étudiant</t>
  </si>
  <si>
    <t>Total préalable</t>
  </si>
  <si>
    <t>Retour de l'enseignant</t>
  </si>
  <si>
    <t>Tous ces éléments sont à observer pour que le travail soit évaluable</t>
  </si>
  <si>
    <t>Le projet Java ou la solution C# ont été mis à disposition à temps, selon les modalités prévues par l'énoncé (délais, règles relatives au dépôt distant, etc.)</t>
  </si>
  <si>
    <t>L'auto-évaluation est de qualité</t>
  </si>
  <si>
    <t>justifications manquantes
 ou imprécises</t>
  </si>
  <si>
    <t>Le projet Java cible le JDK 17 et Gradle 8.+
Le projet C# cible .NET 6 et Avalonia 11+</t>
  </si>
  <si>
    <t>Le dépôt distant peut être construit sans erreurs de compilation. Au besoin l'outil de construction résout les dépendances tierces.</t>
  </si>
  <si>
    <t>L'application utilise des ressources externes pour lire et sauver les données demandées. Ces ressources externes respectent les contraintes de l'énoncé (type de ressource, localisation, etc.)</t>
  </si>
  <si>
    <t xml:space="preserve">Les fonctionnalités requises sont implémentées et sufisamment de tests d'acceptation réussissent </t>
  </si>
  <si>
    <t xml:space="preserve">Toutes les us ont été implémentées </t>
  </si>
  <si>
    <t>TA non-observés :</t>
  </si>
  <si>
    <t>Acquis 1 : Concevoir une solution selon les principes de l'orienté objet</t>
  </si>
  <si>
    <t>Observé</t>
  </si>
  <si>
    <t>Total Acquis 1</t>
  </si>
  <si>
    <t>Seuil de réussite (tous sont à valider pour obtenir l'acquis)</t>
  </si>
  <si>
    <t>Les méthodes sont peu complexes
[ ] au plus 1 alerte NCSS dans les projets domains, presentations et infrastructures
[ ] au plus 1 alerte CC  dans les projets domains, presentations et infrastructures
[ ] au plus 1 alerte TooManyParameter  dans les projets domains, presentations et infrastructures</t>
  </si>
  <si>
    <t>Aucune alerte de ces types est présente au sein de cette iteration 1</t>
  </si>
  <si>
    <t>Déclarer des types avec une cohésion forte
[ ] au plus 1 alerte LackOfCohesion dans les projets domains, presentations et infrastructures
[ ] au plus 1 alerte TooManyFields max dans les projets domains, presentations et infrastructures
[ ] au plus 1 alerte TooManyMethods max dans les projets domains, presentations et infrastructures</t>
  </si>
  <si>
    <t xml:space="preserve"> Alerte lackOfCohesion : presentations.IniConfiguration Reader
(IniConfigurationReader begins at 10 ends at 184)
Alerte lackOfCohesion : views.ConsoleThermometerViews
(ConsoleThermometerView begins at 7 ends at 28)</t>
  </si>
  <si>
    <t>ClassLackingOfCohesion (violation count: 2)
Type: IniConfigurationReader begins at 10 ends at 182
This class members does not seem to form a cohesive set.</t>
  </si>
  <si>
    <t>Déclarer des types avec un couplage faible
[ ] 1 alerte AvoidNonPrivateInstanceField dans les projets domains, presentations et infrastructures
[ ] 1 alerte CouplingBetweenObject dans les projets domains, presentations et infrastructures
[ ] 1 alerte LooseCoupling max. dans les projets domains, presentations et infrastructures</t>
  </si>
  <si>
    <t>Les types sont logiquement regroupés
[ ] Pas d'alertes ArchUnit</t>
  </si>
  <si>
    <t>Aucune alerte ArchUnit</t>
  </si>
  <si>
    <t>System.out.print ailleurs que dans le sous-projet views</t>
  </si>
  <si>
    <t>Acquis 2 : Programmer en exploitant les spécificités d'un langage de programmation</t>
  </si>
  <si>
    <t>Total Acquis 2</t>
  </si>
  <si>
    <t>Le code respecte les  convention d'écriture du langage
[ ] 5 alertes liées aux conventions d'écriture max.</t>
  </si>
  <si>
    <t>Il y'a 0 alertes liées aux conventions d'écriture.</t>
  </si>
  <si>
    <t>UnusedFormalParameter (violation count: 1)
Type: Sonde begins at 81 ends at 81
Avoid unused method parameters such as 'currentJalonIndex'.
SystemPrintln (violation count: 6)
Type: TemperatureAlert begins at 36 ends at 36
System.out.println is used
Type: TemperatureAlert begins at 43 ends at 43
System.out.printf is used
Type: ThermometerPresenter begins at 39 ends at 39
System.out.print is used
Type: IniConfigurationReader begins at 160 ends at 160
System.err.println is used</t>
  </si>
  <si>
    <t>Le code exploite les pipeline de collections (stream en Java, Linq en C#)
[ ] Au moins une utilisation pertinente de pipeline dans le code métier ou applicatif</t>
  </si>
  <si>
    <t>j'utilise un stream dans la methode calculateAverageMeasurement présente dans domains.Agregateur ligne 42 a 57</t>
  </si>
  <si>
    <t>Le code exploite la notion d'enregistrements
[ ] Au moins un DTO ou Arguments d'événements est défini par un enregistrement</t>
  </si>
  <si>
    <t>j'ai 3 Record dans le module domains :
Thermometer, Jalon, Mesure</t>
  </si>
  <si>
    <t>Le code exploite adéquatement les génériques
[ ] Définition d'au moins un type générique
[ ] Le type générique est utilisé avec deux arguments de type différents.</t>
  </si>
  <si>
    <t>indiquez le nom du fichier où vous déclarez un type générique.
Indiquez vos exemples d'utilisation en mentionnant le nom de fichier et la ligne.</t>
  </si>
  <si>
    <t>Le code exploite les références de méthode
[ ] Java déclaration d'au moins un membre de type interface fonctionnelle et initialisation
[ ] C# déclaration d'au moins un membre event</t>
  </si>
  <si>
    <t>indiquez le nom du fichier où vous déclarez une membre auquel vous affectez des références de méthode ou expressions lamdba</t>
  </si>
  <si>
    <t>Acquis 3 :  Exploiter des ressources externes</t>
  </si>
  <si>
    <t>Total Acquis 3</t>
  </si>
  <si>
    <t>Les ressources acquises sont effectivement libérées
[ ] Pas d'alerte AvoidFileStream 
[ ] Pas d'alerte UseTryWithResources
[ ] Pas d'alerte CloseResource</t>
  </si>
  <si>
    <t>je n'ai aucune alerte a propos de ces types d'alertes</t>
  </si>
  <si>
    <t xml:space="preserve">Les exceptions spécifiques aux ressources utilisées sont attrapées et traitées
[ ] Pas d'alerte EmptyCatchBlock
[ ] Pas d'alerte EmptyFinallyBlock
[ ] Pas d'alerte EmptyTryBlock
[ ] Pas d'alerte AvoidRethrowingException
[ ] Pas d'alerte AvoidRethrowingNewInstanceOfTheSameException
</t>
  </si>
  <si>
    <t>Les transactions manuelles sont correctement mises en places aux endroits nécessaires
[ ] La transaction est commencée
[ ] La transaction est validée en cas de succès (commit)
[ ] La transaction est annulée en cas d'échec (rollback)
[ ] La transaction est utilisée pour soumettre plusieurs requêtes modifiant la BD</t>
  </si>
  <si>
    <t>indiquez le nom du fichier et la ligne à partir de laquelle vous utilisez adéquatement une transaction.
En cas d'indicateur non-validé pour l'exemple donné, signaler les.
Ex: ma transaction est utilisée pour soumettre une seule requête SQL.</t>
  </si>
  <si>
    <t>Le cas échéant les requêtes SQL sont paramétrés adéquatement
[ ] les arguments des requêtes SQL utilisent les méthodes adéquates pour être injectés dans la requête.
[ ] les types des arguments sont adéquat par rapport au type de la colonne et inversement.</t>
  </si>
  <si>
    <t>indiquez le nom du fichier et les lignes où vous paramétrez vos requêtes SQL.
En cas d'indicateur non-validé, indiquez-le
Ex: j'ai paramétré une colonne de type VARCHAR avec la méthode setString, mais son argument est une datetime.</t>
  </si>
  <si>
    <t>Acquis 4 : Tester en intégration</t>
  </si>
  <si>
    <t>Total Acquis 4</t>
  </si>
  <si>
    <t>Des ressources spécifiques à l'environnement de test sont utilisées</t>
  </si>
  <si>
    <t xml:space="preserve">mon fichier de test se trouve dans : 
App/src/test/ressources  et le fichier s'appelle LivingRoomTest.ini  et mes tests sont effectué dans test </t>
  </si>
  <si>
    <t>Les tests valident le happy path et au moins un cas dégradé</t>
  </si>
  <si>
    <t>test happyPath : get_whenKeyExists_returnsValue 
test cas dégradé : get_whenKeyDoesNotExist_returnsNull
dans App/src/test/IniConfigurationReaderTests</t>
  </si>
  <si>
    <t>Les tests réussissent sans adaptations</t>
  </si>
  <si>
    <t>Les tests sont rejouables sans modifications extérieures</t>
  </si>
  <si>
    <t>Acquis 5 : Tester en isolation</t>
  </si>
  <si>
    <t>Total Acquis 5</t>
  </si>
  <si>
    <t>Les instructions des projets domains et présentations sont couvertes à 80% par des tests unitaires</t>
  </si>
  <si>
    <t>domains : 94%
presentations : 27%
infrastructures = 95%</t>
  </si>
  <si>
    <t>Manque de couverture de test : couverture de la partie domains = 94.14414414414415%% - couverture de la partie presentations = 27.06766917293233%%</t>
  </si>
  <si>
    <t>Les tests unitaires suivent une convention de nommage telle que Should…, It…, ou Given...When...Then…</t>
  </si>
  <si>
    <t xml:space="preserve">shouldCalculateAverageMeasurement dans AgregateurTests ligne 50 a 62 et givenNoMesure_ThenReturnNullOnEmptyList ligne 66 a 69 ( App/src/test)
</t>
  </si>
  <si>
    <t>Les tests respectent globalement le motif Arrange, Act, Assert</t>
  </si>
  <si>
    <t>shouldAddMeasurement_addsToMeasurements dans AgregateurTests ligne 42 (arrange) et ligne 45 (act) . shouldCalculateAverageMeasurement dans AgregateurTests ligne 52 et 53 (arrange) , ligne 55 et 56 (act) , ligne 61 et 62 (assert)</t>
  </si>
  <si>
    <t>Les tests unitaires sur la partie présentation utilisent des mocks</t>
  </si>
  <si>
    <t>Donnez deux exemples de tests unitaires utilisant les mocks en mentionnant le nom du fichier et le numéro de ligne.</t>
  </si>
  <si>
    <t>Degré de maitrise</t>
  </si>
  <si>
    <t>Total degré de mait.</t>
  </si>
  <si>
    <t>Vérifiés SI tous les critères de seuil de réussite ont été observés pour affiner la cote</t>
  </si>
  <si>
    <t>Votre code déclenche 5 alertes ou moins (Pmd, ArchUnit)</t>
  </si>
  <si>
    <t>Votre code ne déclenche aucune alerte (Pmd, ArchUnit)</t>
  </si>
  <si>
    <t>Vous mettez adéquatement en œuvre le DP de l'Observateur</t>
  </si>
  <si>
    <t>Le "DP Observateur" est une méthode qui permet à certains objets (appelés "observateurs") d'être informés quand quelque chose change dans un autre objet (le "sujet")
Agregateur est la classe ou l'interface observateur est déclarer
sujet : la classe sonde
Les abonnements  se produisent via la méthode registerObserver(TemperatureObserver observer) dans la classe Sonde
Les notifications aux observateurs se produisent dans la méthode notifyObservers(Mesure mesure) de la classe Sonde</t>
  </si>
  <si>
    <t>Vous mettez adéquatement en œuvre un second DP parmi les suivants : Factory Method, Simple Factory, Abstract Factory,  Strategy, Observable, Bridge</t>
  </si>
  <si>
    <t xml:space="preserve">Le "DP Observateur" est une méthode qui permet à certains objets (appelés "observateurs") d'être informés quand quelque chose change dans un autre objet (le "sujet")
le dp est mise en œuvre avec les classes agregateurs et sonde et les deux interfaces implémentés par ces derniers.(ThermometerPublisher et ThermometerObserver)
</t>
  </si>
  <si>
    <t>Le code utilise les pipelines de collection de façon pertinente à plusieurs endroits</t>
  </si>
  <si>
    <t>Le code définit et utilise adéquatement plusieurs types génériques</t>
  </si>
  <si>
    <t>Mentionnez un autre endroit où vous déclarez et utilisez un second type générique</t>
  </si>
  <si>
    <t>Le code utilise les références de méthodes à plusieurs endroits</t>
  </si>
  <si>
    <t>dans la methode calculateAverageMeasurement dans la classe Agregateur ligne 48</t>
  </si>
  <si>
    <t>Le projet définit au moins une exception liée au domaine</t>
  </si>
  <si>
    <t>/</t>
  </si>
  <si>
    <t>Les tests en intégration valident plus d'un cas dégradé</t>
  </si>
  <si>
    <t>Des types du domaine sont testés à l'aide de Mock</t>
  </si>
  <si>
    <t>Donnez deux exemples de tests unitaires du domaine utilisant les mocks en mentionnant le nom du fichier et le numéro de ligne.</t>
  </si>
  <si>
    <t>Appréciation de l'itération</t>
  </si>
  <si>
    <t>Commentaires de l'enseignant</t>
  </si>
  <si>
    <t>Activité intégrative : itération 2</t>
  </si>
  <si>
    <t>ex: dotnet run -- --config-file config.ini</t>
  </si>
  <si>
    <t>Renomme le editorconfig en .editorconfig pour avoir moins d'alerte et les bonnes</t>
  </si>
  <si>
    <t>Toute les fonctionnalités ont été implémenter</t>
  </si>
  <si>
    <t xml:space="preserve">Pour avoir les messages d'erreur lorsque tu fais dotnet run, il faut changer dans le csproj de App la propriété OutputType et la mettre à Exe
La commande à exécuter n'a pas été mise en K3
</t>
  </si>
  <si>
    <t>Aucune alerte de ces types</t>
  </si>
  <si>
    <t>3 alertes LackOfCohesion : dans les classes Thermometer,ThermometerAlert, ThermometerMeasure dans le module domains</t>
  </si>
  <si>
    <t>Configuration.cs(3,5): warning HE0001: Configuration does not define a cohesive set. CKCohesion should be &gt; 1,1. Actual 8.
  Thermometer.cs(3,1): warning HE0001: Thermometer does not define a cohesive set. CKCohesion should be &gt; 1,1. Actual 8.
  ThermometerAlert.cs(3,1): warning HE0001: ThermometerAlert does not define a cohesive set. CKCohesion should be &gt; 1,1. Actual 1,75.
  ThermometerMeasure.cs(3,1): warning HE0001: ThermometerMeasure does not define a cohesive set. CKCohesion should be &gt; 1,1. Actual 1,75.</t>
  </si>
  <si>
    <t xml:space="preserve">Aucune alerte de ces types </t>
  </si>
  <si>
    <t>Thermometer.cs(3,1): warning HE0004: Type Thermometer leaks 2 non private instance fields
Configuration.cs(5,9): warning HE0009: Avoid to expose concrete type
  IConfigurationReader.cs(7,25): warning HE0009: Avoid to expose concrete type
  Thermometer.cs(8,5): warning HE0009: Avoid to expose concrete type
CsvConfigurationReader.cs(11,5): warning HE0009: Avoid to expose concrete type
  CsvConfigurationReader.cs(53,5): warning HE0009: Avoid to expose concrete type
  IniConfigurationReader.cs(10,9): warning HE0009: Avoid to expose concrete type
  IniConfigurationReader.cs(19,36): warning HE0009: Avoid to expose concrete type
  IniConfigurationReader.cs(76,9): warning HE0009: Avoid to expose concrete type
  IniConfigurationReader.cs(90,9): warning HE0009: Avoid to expose concrete type
  IniConfigurationReader.cs(101,9): warning HE0009: Avoid to expose concrete type
MainPresenter.cs(9,9): warning HE0009: Avoid to expose concrete type
  MainPresenter.cs(10,9): warning HE0009: Avoid to expose concrete type
  MainPresenter.cs(12,9): warning HE0009: Avoid to expose concrete type</t>
  </si>
  <si>
    <t>Aucune alertes Archunit a signalé</t>
  </si>
  <si>
    <t>Toutes les conventions d'écriture du language (c#) ont été respectées</t>
  </si>
  <si>
    <t>Thermometer.cs(5,19): warning CS8618: Le propriété 'Name' non-nullable doit contenir une valeur non-null lors de la fermeture du constructeur. Envisagez de déclarer le propriété comme nullable.
  Thermometer.cs(6,19): warning CS8618: Le champ 'DateTimeFormat' non-nullable doit contenir une valeur non-null lors de la fermeture du constructeur. Envisagez de déclarer le champ comme nullable.
  Thermometer.cs(7,19): warning CS8618: Le champ 'TemperatureFormat' non-nullable doit contenir une valeur non-null lors de la fermeture du constructeur. Envisagez de déclarer le champ comme nullable.
  ThermometerAlert.cs(6,19): warning CS8618: Le propriété 'ThermometerName' non-nullable doit contenir une valeur non-null lors de la fermeture du constructeur. Envisagez de déclarer le propriété comme nullable.
  ThermometerMeasure.cs(5,19): warning CS8618: Le propriété 'ThermometerName' non-nullable doit contenir une valeur non-null lors de la fermeture du constructeur. Envisagez de déclarer le propriété comme nullable.
  ThermometerMeasure.cs(7,19): warning CS8618: Le propriété 'MeasureType' non-nullable doit contenir une valeur non-null lors de la fermeture du constructeur. Envisagez de déclarer le propriété comme nullable.
IniConfigurationReader.cs(21,37): warning CS8600: Conversion de littéral ayant une valeur null ou d'une éventuelle valeur null en type non-nullable.
  IniConfigurationReader.cs(23,28): warning CS8600: Conversion de littéral ayant une valeur null ou d'une éventuelle valeur null en type non-nullable.
  IniConfigurationReader.cs(25,39): warning CS8601: Existence possible d'une assignation de référence null.
  IniConfigurationReader.cs(71,20): warning CS8603: Existence possible d'un retour de référence null.
MainPresenter.cs(39,40): warning CS8601: Existence possible d'une assignation de référence null.
  MainPresenter.cs(15,16): warning CS8618: Le champ '_selectedThermometerName' non-nullable doit contenir une valeur non-null lors de la fermeture du constructeur. Envisagez de déclarer le champ comme nullable.</t>
  </si>
  <si>
    <t xml:space="preserve">j'utilise les linq dans ma classe MainPresenter dans le module presentations plus précisement dans la methode UpdateMeasurements </t>
  </si>
  <si>
    <t>Il n'y a aucun record</t>
  </si>
  <si>
    <t xml:space="preserve">Aucune alerte de ces types n'est présente </t>
  </si>
  <si>
    <t>IniConfigurationReader.cs(16,28): warning IDISP004: Don't ignore created Idisposable</t>
  </si>
  <si>
    <t>j'utilise deux fichiers pour mes tests dans le module Stas.Monitor.Presentations.Tests , les fichiers sont fakeAlerte et fakeMesures</t>
  </si>
  <si>
    <t>Bizarre de ne pas plutôt les avoir mis dans Infrastructure avec un fichier de test.ini</t>
  </si>
  <si>
    <t>HappyPath_UpdateMeasurements_ShouldLoadCorrectEvents  pour le happy path et le cas dégradé : DegradedPath_MissingThermometer_ShouldNotLoadDataForMissingThermometer Dans le module Stas.Monitor.App.tests dans MainPresenterIntregrationTests</t>
  </si>
  <si>
    <t>domains : 94% et Presentations : 85%</t>
  </si>
  <si>
    <t>Manque de couverture de test : couverture de la partie domains = 94% - couverture de la partie presentations = 85%</t>
  </si>
  <si>
    <t>UpdateMeasurements_ShouldAddCorrectNumberOfEvents_BasedOnCsvFiles ( ligne 32 : MainPresenterTests) et UpdateMeasurements_ShouldAddExpectedMeasurements_ForChambre ( ligne 41)</t>
  </si>
  <si>
    <t>ConfigurationsTests ligne 11, ThermometerMeasureTests ligne 10, MainPresenterTests ligne 32</t>
  </si>
  <si>
    <t>indirectement utilisé grace aux listes ObservableCollection, qui notifie l'interface afin d'afficher les informations</t>
  </si>
  <si>
    <t>Mentionnez un autre endroit où vous utilisez adéquatement les pipelines de code</t>
  </si>
  <si>
    <t>Mentionnez un autre endroit où vous déclarez et utilisez les références de méthodes</t>
  </si>
  <si>
    <t>uniquement un seul cas degradé ligne 66 dans MainPresenterIntegrationTests dans Stas.Monitor.App.tests</t>
  </si>
  <si>
    <t>Activité intégrative : itération 3</t>
  </si>
  <si>
    <t>Bouzia Badr</t>
  </si>
  <si>
    <t xml:space="preserve">gradle run --args="--config-file salon.ini" </t>
  </si>
  <si>
    <t>Q220251</t>
  </si>
  <si>
    <t>Toutes les fonctionnalités ont été implémentées.</t>
  </si>
  <si>
    <t>AI-Java-6 : TA4
AI-Java-7 : TA1, TA2, TA3</t>
  </si>
  <si>
    <t xml:space="preserve"> Aucune de ces alertes dans le projet</t>
  </si>
  <si>
    <t xml:space="preserve">Une alerte lack of cohesion dans : domains/MesureDataMapper mais il n'est a pas prendre en compte car au labo vous l'avez annulé.  Une alerte TooManyFields dans domains/TemperatureAlert </t>
  </si>
  <si>
    <t xml:space="preserve">ClassLackingOfCohesion in stas.thermometer.domains.MesureDataMapper.None at line 5 until line 79 : 
This class members does not seem to form a cohesive set.
TooManyFields in stas.thermometer.domains.TemperatureAlert.None at line 5 until line 116 : 
Too many fields
</t>
  </si>
  <si>
    <t>Tous les tests ArchUnit passe avec succès.</t>
  </si>
  <si>
    <t>domains/TemperatureAlert begins at 50 ends at 50
Avoid using Literals in Conditional Statements
domains/TemperatureAlert begins at 85 ends at 85
Avoid using Literals in Conditional Statements</t>
  </si>
  <si>
    <t>j'utilise un stream dans  domains/AgregateurHumidity ligne 25 a 27 et dans domains/Agregateur ligne 36 a 38</t>
  </si>
  <si>
    <t xml:space="preserve">j'ai un dto dans domains/Mesure et dans domains/Alert et j'en ai d'autres mais ce sont les principales ceux cités.(les autres: domains/jalons , domains/AggregateurConfig et domains/AggregateurConfigHumidity                                                                                 </t>
  </si>
  <si>
    <t xml:space="preserve">j'utilise un type générique (T)dans domains/MesureDataMapper et le type générique est utilisé avec deux types arguments de types différents qui sont les suivant : Mesure et Alert </t>
  </si>
  <si>
    <t>j'ai déclarer une interface fonctionnelle dans domains/DataBaseAction</t>
  </si>
  <si>
    <t>Dans domains/MesureDataMapper ( j'ai precisé le rollback pour etre sur malgré que peut etre que les ressources soit fermer inplicitement par le try with ressource)                      rollback : ligne 18  , commit : ligne 21</t>
  </si>
  <si>
    <t xml:space="preserve">Dans domains/MesureDataMapper : tous a éte parametrés correctement </t>
  </si>
  <si>
    <t>base de données derby a la racine du projet (DbTest) et infrastructures/src/test/resources/LivingRoomTest.ini pour les tests dans infrastructure</t>
  </si>
  <si>
    <t>Cas happy path:  shouldEstablishConnectionWhenUrlIsValid dans stas.thermomether.domains.tests/DatabaseConnectorTests et   shouldInsertTemperatureSuccessfully , shouldInsertTemperatureAlertSuccessfully,shouldInsertHumiditySuccessfully,shouldInsertHumidityAlertSuccessfully  dans stas.thermomether.domains.tests/MesureDataMapperTests et shouldDisplayAndCheckTemperatureWhenCalculateAverageMeasurementWithMeasurements dans stas.thermomether.domains.tests/AgregateurTests             Cas degradé : shouldThrowRepositoryExceptionWhenUrlIsInvalid dans stas.thermomether.domains.tests/DatabaseConnectorTests et shouldThrowExceptionWhenInsertTemperatureWithNullMeasure dans stas.thermomether.domains.tests/MesureDataMapperTests  et shouldDoNothingWhenCalculateAverageMeasurementWithNoMeasurements dans stas.thermometer.domains.test.AgregateurTests</t>
  </si>
  <si>
    <t xml:space="preserve">
- domains : 95% de lignes couvertes
- presentations : 91% de lignes couvertes</t>
  </si>
  <si>
    <t>Couverture de la partie domains = 95.25043177892918% 
couverture de la partie presentations = 91.42857142857143%</t>
  </si>
  <si>
    <t>shouldCorrectlyAssignValuesWhenConstructed dans stas.thermometer.domains.test.MesureTests ligne 13 a 24 et shouldCreateAlertWithCorrectValues dans stas.thermometer.domains.test.AlertTests ligne 13 a 27</t>
  </si>
  <si>
    <t>shouldActivateAlertWhenHumidityExceedsThreshold dans stas.thermometer.domains.test.TemperatureAlertTests ligne 77 a 87 et shouldAssignValuesCorrectly_WhenConstructed dans stas.thermometer.domains.test.JalonTests ligne 12 a 23</t>
  </si>
  <si>
    <t>shouldNotifyRegisteredObserver dans stas.thermometer.domains.test.AbstractSondeTest ligne 24 a 34 et shouldDisplayAndCheckTemperatureWhenCalculateAverageMeasurementWithMeasurements dans stas.thermometer.domains.test.AgregateurTests ligne 51 a 64</t>
  </si>
  <si>
    <t>Le "DP Observateur" est une méthode qui permet à certains objets (appelés "observateurs") d'être informés quand quelque chose change dans un autre objet (le "sujet")
le dp est mise en œuvre avec les classes agregateurs et sonde et les deux interfaces implémentés par ces derniers.(ThermometerPublisher et ThermometerObserver)</t>
  </si>
  <si>
    <t>dans stas.thermometer.domains.Agregateur et stas.thermometer.domains.AgregateurHumidity</t>
  </si>
  <si>
    <t>./</t>
  </si>
  <si>
    <t xml:space="preserve">une exception peut etre lancer dans la classe MesureDataMapper du domains </t>
  </si>
  <si>
    <t>shouldThrowRepositoryExceptionWhenUrlIsInvalid dans stas.thermomether.domains.tests/DatabaseConnectorTests et shouldThrowExceptionWhenInsertTemperatureWithNullMeasure dans stas.thermomether.domains.tests/MesureDataMapperTests  et shouldDoNothingWhenCalculateAverageMeasurementWithNoMeasurements dans stas.thermometer.domains.test.AgregateurTests</t>
  </si>
  <si>
    <t>Activité intégrative : itération 4</t>
  </si>
  <si>
    <t>cd Stas.Monitor.App et puis dotnet run --config-file config.ini</t>
  </si>
  <si>
    <t>Toute les TA ont été implémentés</t>
  </si>
  <si>
    <t xml:space="preserve">Aucune des ces alertes est présente dans le projet </t>
  </si>
  <si>
    <t>une alerte TooManyMethods dans Stas.Monitor.Presentations/MainPresenter.cs</t>
  </si>
  <si>
    <t xml:space="preserve">HE0002 in Stas.Monitor.Presentations.MainPresenter.cs at line 7 until line 5 : MainPresenter has too many bodies. Expected 15. Actual 16.
</t>
  </si>
  <si>
    <t>Aucune de ses alertes n'est présente dans le projet</t>
  </si>
  <si>
    <t xml:space="preserve">Aucune alerte de convention d'écriture </t>
  </si>
  <si>
    <t xml:space="preserve">Problème : 
SA1312 in Stas.Monitor.Views.AlertDifferenceDisplayConverter.cs at line 11 until line 33 : Variable 'AlertDifference' should begin with lower-case letter
</t>
  </si>
  <si>
    <t>J'utilise une linq dans Stas.Monitor.Presentations/MainPresenter.cs ligne 29</t>
  </si>
  <si>
    <t>dans Stas.Monitor.Domains/CombinedHumidityDto.cs et Stas.Monitor.Domains/CombinedTemperatureDto.cs</t>
  </si>
  <si>
    <t>je declare pas directement un membre event mais j'utilise les évenement via : Stas.Monitor.Presentations/MainPresenter.cs et Stas.Monitor.Views/MainWindow.axaml.cs ( la ou les évenement sont gérés ( code behind et interface))</t>
  </si>
  <si>
    <t>il y'a pas de transactions uniquement des select voici la classe : Stas.Monitor.Infrastructures/MeasurementSql.cs</t>
  </si>
  <si>
    <t>dans Stas.Monitor.Infrastructures/MeasurementSql.cs ligne 11 a 21 , ligne 28 a 38 , ligne 50 a 71 et ligne 85 a 106 ( tout est respecté)</t>
  </si>
  <si>
    <t>j'utilise une base de donnée de mémoire pour mon test present dans : Stas.Monitor.Infrastructures.Tests/MeasurementSqlTests.cs</t>
  </si>
  <si>
    <t xml:space="preserve">dans Stas.Monitor.Infrastructures.Tests/MeasurementSqlTests.cs:happy path : Should_GetLatestTemperatureTimestamp_ForGivenThermometer()  ,   Should_GetLatestHumidityTimestamp_ForGivenThermometer()  ,  Should_GetCombinedTemperatureData_ForGivenThermometerAndDuration()  et Should_GetCombinedHumidityData_ForGivenThermometerAndDuration() et dans Stas.Monitor.Presentations.Tests/MainPresenterTests.cs  UpdateMeasurements_ShouldFetchTemperatureData() et  UpdateMeasurementsHumidity_ShouldFetchHumidityData() et  Setting_SelectedThermometerName_ShouldTriggerUpdateMeasurements() et  Toggling_ShowTemperatureMeasurements_ShouldTriggerVisibilityToggle().  Pour les cas degradés :     Stas.Monitor.Infrastructures.Tests/MeasurementSqlTests.cs Should_ReturnMinValue_ForNonExistentThermometer() et Should_ReturnEmpty_ForNegativeDurationInCombinedTemperatureData()  et Should_ReturnEmpty_ForNegativeDurationInCombinedHumidityData() et dans Stas.Monitor.Presentations.Tests/MainPresenterTests.cs Changing_SelectedDurationTime_ShouldNotUpdateMeasurements()                                                                                                                                            </t>
  </si>
  <si>
    <t xml:space="preserve">
- domains : 100% de lignes couvertes
- presentations : 80% de lignes couvertes</t>
  </si>
  <si>
    <t>Couverture de la partie domains = 100.0% 
couverture de la partie presentations = 80.98591549295774%</t>
  </si>
  <si>
    <t xml:space="preserve">Stas.Monitor.Domains.Tests/CombinedHumidityDtoTests.cs ligne 13 et Stas.Monitor.Domains.Tests/ConfigurationTests.cs ligne 12 </t>
  </si>
  <si>
    <t>Stas.Monitor.Domains.Tests/ThermometerTests.cs ligne 11 a 28 et Stas.Monitor.Presentations.Tests/UiStateTests.cs ligne 10 a 20</t>
  </si>
  <si>
    <t>Stas.Monitor.Presentations.Tests/MainPresenterTests.cs ligne 37 a 43 et  Stas.Monitor.Presentations.Tests/MainPresenterTests.cs ligne 31 a 34</t>
  </si>
  <si>
    <t>indirectement utilisé entre le code behind et l'interface car a chaque action  y'a une notiifcation.</t>
  </si>
  <si>
    <t>factory method : J'ai découplé la création de connexions à la base de données de mon code, en rendant l'application flexible sans lier à une implémentation spécifique de base de données.  Stas.Monitor.Infrastructures/DatabaseConnection.cs ,  Stas.Monitor.Infrastructures/IDatabaseConnectionFactory.cs, Stas.Monitor.Infrastructures/MeasurementSql.cs</t>
  </si>
  <si>
    <t>Pour les cas degradés :    Should_ReturnMinValue_ForNonExistentThermometer() et Should_ReturnEmpty_ForNegativeDurationInCombinedTemperatureData()        dans  Stas.Monitor.Infrastructures.Tests/MeasurementSqlTests.cs</t>
  </si>
  <si>
    <t>/.</t>
  </si>
  <si>
    <t>Étudiant</t>
  </si>
  <si>
    <t>Nom et prénom</t>
  </si>
  <si>
    <t>AA1</t>
  </si>
  <si>
    <t>AA2</t>
  </si>
  <si>
    <t>AA3</t>
  </si>
  <si>
    <t>AA4</t>
  </si>
  <si>
    <t>Observations/It</t>
  </si>
  <si>
    <t>Eval 3</t>
  </si>
  <si>
    <t>Eval 4</t>
  </si>
  <si>
    <t>Défense orale</t>
  </si>
  <si>
    <t>Observations/AA</t>
  </si>
  <si>
    <t>Note sans adaptations</t>
  </si>
  <si>
    <t>Adaptations de l'enseignant</t>
  </si>
  <si>
    <t>Note adaptée</t>
  </si>
  <si>
    <t>Pour avoir les messages d'erreur lorsque tu fais dotnet run, il faut changer dans le csproj de App la propriété OutputType et la mettre à Exe
AI-CS-02 : TA1
AI-CS-03 : TA1, TA4</t>
  </si>
  <si>
    <t>AI-Java-6 : TA4 (fait ( couleur surchauffe et refroidissement)
AI-Java-7 : TA1, TA2, TA3 ( j'ai changé le csproj en Exe (corrigé))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</si>
</sst>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i/>
      <sz val="11"/>
      <color theme="1"/>
      <name val="Calibri"/>
      <family val="2"/>
      <scheme val="minor"/>
    </font>
    <font>
      <b/>
      <sz val="11"/>
      <color rgb="FFFA7D00"/>
      <name val="Calibri"/>
      <family val="2"/>
      <scheme val="minor"/>
    </font>
    <font>
      <i/>
      <sz val="9"/>
      <color theme="1"/>
      <name val="Calibri"/>
      <family val="2"/>
      <scheme val="minor"/>
    </font>
    <font>
      <sz val="10"/>
      <color theme="0"/>
      <name val="Calibri"/>
      <family val="2"/>
      <scheme val="minor"/>
    </font>
    <font>
      <sz val="10"/>
      <color theme="1"/>
      <name val="Calibri"/>
      <family val="2"/>
      <scheme val="minor"/>
    </font>
    <font>
      <sz val="11"/>
      <color rgb="FF3F3F76"/>
      <name val="Calibri"/>
      <family val="2"/>
      <scheme val="minor"/>
    </font>
    <font>
      <b/>
      <sz val="11"/>
      <color rgb="FF3F3F3F"/>
      <name val="Calibri"/>
      <family val="2"/>
      <scheme val="minor"/>
    </font>
    <font>
      <b/>
      <i/>
      <sz val="11"/>
      <color theme="4"/>
      <name val="Calibri"/>
      <family val="2"/>
      <scheme val="minor"/>
    </font>
  </fonts>
  <fills count="19">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theme="4" tint="0.79998168889431442"/>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9"/>
      </patternFill>
    </fill>
    <fill>
      <patternFill patternType="solid">
        <fgColor theme="9" tint="0.39997558519241921"/>
        <bgColor indexed="65"/>
      </patternFill>
    </fill>
    <fill>
      <patternFill patternType="solid">
        <fgColor theme="0" tint="-0.34998626667073579"/>
        <bgColor indexed="64"/>
      </patternFill>
    </fill>
    <fill>
      <patternFill patternType="solid">
        <fgColor rgb="FFF2F2F2"/>
      </patternFill>
    </fill>
    <fill>
      <patternFill patternType="solid">
        <fgColor theme="6" tint="0.79998168889431442"/>
        <bgColor indexed="64"/>
      </patternFill>
    </fill>
    <fill>
      <patternFill patternType="darkDown"/>
    </fill>
    <fill>
      <patternFill patternType="solid">
        <fgColor rgb="FFFFCC99"/>
      </patternFill>
    </fill>
    <fill>
      <patternFill patternType="solid">
        <fgColor theme="6" tint="0.39997558519241921"/>
        <bgColor indexed="65"/>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13">
    <xf numFmtId="0" fontId="0" fillId="0" borderId="0"/>
    <xf numFmtId="0" fontId="3" fillId="2" borderId="0"/>
    <xf numFmtId="0" fontId="1" fillId="3" borderId="0"/>
    <xf numFmtId="0" fontId="1" fillId="4" borderId="0"/>
    <xf numFmtId="0" fontId="3" fillId="5" borderId="0"/>
    <xf numFmtId="0" fontId="1" fillId="6" borderId="0"/>
    <xf numFmtId="0" fontId="3" fillId="7" borderId="0"/>
    <xf numFmtId="0" fontId="3" fillId="8" borderId="0"/>
    <xf numFmtId="0" fontId="1" fillId="9" borderId="0"/>
    <xf numFmtId="0" fontId="6" fillId="11" borderId="1"/>
    <xf numFmtId="0" fontId="10" fillId="14" borderId="1"/>
    <xf numFmtId="0" fontId="11" fillId="11" borderId="2"/>
    <xf numFmtId="0" fontId="1" fillId="15" borderId="0"/>
  </cellStyleXfs>
  <cellXfs count="55">
    <xf numFmtId="0" fontId="0" fillId="0" borderId="0" xfId="0"/>
    <xf numFmtId="0" fontId="3" fillId="2" borderId="0" xfId="1"/>
    <xf numFmtId="0" fontId="3" fillId="8" borderId="0" xfId="7"/>
    <xf numFmtId="0" fontId="3" fillId="7" borderId="0" xfId="6"/>
    <xf numFmtId="0" fontId="3" fillId="7" borderId="0" xfId="6" quotePrefix="1"/>
    <xf numFmtId="0" fontId="3" fillId="5" borderId="0" xfId="4" applyAlignment="1">
      <alignment wrapText="1"/>
    </xf>
    <xf numFmtId="0" fontId="3" fillId="7" borderId="0" xfId="6" applyAlignment="1">
      <alignment vertical="top"/>
    </xf>
    <xf numFmtId="0" fontId="3" fillId="7" borderId="0" xfId="6" quotePrefix="1" applyAlignment="1">
      <alignment vertical="top"/>
    </xf>
    <xf numFmtId="0" fontId="5" fillId="0" borderId="0" xfId="0" applyFont="1"/>
    <xf numFmtId="0" fontId="0" fillId="0" borderId="0" xfId="0" applyAlignment="1">
      <alignment horizontal="left" wrapText="1"/>
    </xf>
    <xf numFmtId="0" fontId="3" fillId="0" borderId="0" xfId="6" applyFill="1"/>
    <xf numFmtId="0" fontId="3" fillId="10" borderId="0" xfId="0" applyFont="1" applyFill="1"/>
    <xf numFmtId="0" fontId="3" fillId="10" borderId="0" xfId="6" applyFill="1"/>
    <xf numFmtId="0" fontId="3" fillId="0" borderId="0" xfId="0" applyFont="1"/>
    <xf numFmtId="0" fontId="0" fillId="0" borderId="0" xfId="0" applyAlignment="1">
      <alignment wrapText="1"/>
    </xf>
    <xf numFmtId="0" fontId="6" fillId="12" borderId="1" xfId="9" applyFill="1"/>
    <xf numFmtId="0" fontId="8" fillId="2" borderId="0" xfId="1" applyFont="1"/>
    <xf numFmtId="0" fontId="9" fillId="0" borderId="0" xfId="0" applyFont="1"/>
    <xf numFmtId="0" fontId="7" fillId="0" borderId="0" xfId="0" applyFont="1" applyAlignment="1">
      <alignment vertical="top" wrapText="1"/>
    </xf>
    <xf numFmtId="0" fontId="0" fillId="13" borderId="0" xfId="0" applyFill="1"/>
    <xf numFmtId="0" fontId="0" fillId="0" borderId="0" xfId="0" applyAlignment="1">
      <alignment horizontal="center" vertical="center"/>
    </xf>
    <xf numFmtId="0" fontId="0" fillId="16" borderId="0" xfId="0" applyFill="1"/>
    <xf numFmtId="0" fontId="7" fillId="16" borderId="0" xfId="0" applyFont="1" applyFill="1" applyAlignment="1">
      <alignment vertical="top" wrapText="1"/>
    </xf>
    <xf numFmtId="0" fontId="6" fillId="11" borderId="1" xfId="9"/>
    <xf numFmtId="0" fontId="11" fillId="11" borderId="2" xfId="11"/>
    <xf numFmtId="0" fontId="6" fillId="11" borderId="0" xfId="9" applyBorder="1"/>
    <xf numFmtId="0" fontId="10" fillId="14" borderId="1" xfId="10"/>
    <xf numFmtId="0" fontId="1" fillId="15" borderId="0" xfId="12"/>
    <xf numFmtId="0" fontId="2" fillId="0" borderId="0" xfId="0" applyFont="1"/>
    <xf numFmtId="0" fontId="0" fillId="0" borderId="0" xfId="6" applyFont="1" applyFill="1"/>
    <xf numFmtId="0" fontId="4" fillId="0" borderId="0" xfId="0" applyFont="1" applyAlignment="1">
      <alignment horizontal="center"/>
    </xf>
    <xf numFmtId="0" fontId="0" fillId="0" borderId="0" xfId="0"/>
    <xf numFmtId="0" fontId="3" fillId="8" borderId="0" xfId="7" applyAlignment="1">
      <alignment horizontal="center"/>
    </xf>
    <xf numFmtId="0" fontId="0" fillId="0" borderId="0" xfId="0" applyAlignment="1">
      <alignment horizontal="left"/>
    </xf>
    <xf numFmtId="0" fontId="12" fillId="0" borderId="0" xfId="0" applyFont="1" applyAlignment="1">
      <alignment horizontal="left"/>
    </xf>
    <xf numFmtId="0" fontId="0" fillId="0" borderId="0" xfId="0" applyAlignment="1">
      <alignment wrapText="1"/>
    </xf>
    <xf numFmtId="0" fontId="12" fillId="0" borderId="0" xfId="0" applyFont="1" applyAlignment="1">
      <alignment horizontal="left" wrapText="1"/>
    </xf>
    <xf numFmtId="0" fontId="0" fillId="16" borderId="0" xfId="0" applyFill="1" applyAlignment="1">
      <alignment wrapText="1"/>
    </xf>
    <xf numFmtId="0" fontId="9" fillId="4" borderId="0" xfId="3" applyFont="1" applyAlignment="1">
      <alignment horizontal="left" wrapText="1"/>
    </xf>
    <xf numFmtId="0" fontId="0" fillId="0" borderId="0" xfId="0" applyAlignment="1">
      <alignment horizontal="left" wrapText="1"/>
    </xf>
    <xf numFmtId="0" fontId="3" fillId="5" borderId="0" xfId="4" applyAlignment="1">
      <alignment horizontal="center" vertical="center"/>
    </xf>
    <xf numFmtId="0" fontId="3" fillId="2" borderId="0" xfId="1" applyAlignment="1">
      <alignment horizontal="center"/>
    </xf>
    <xf numFmtId="0" fontId="0" fillId="0" borderId="0" xfId="0" applyAlignment="1">
      <alignment horizontal="left" vertical="center"/>
    </xf>
    <xf numFmtId="0" fontId="0" fillId="0" borderId="0" xfId="0" applyAlignment="1">
      <alignment horizontal="left" vertical="top"/>
    </xf>
    <xf numFmtId="0" fontId="3" fillId="3" borderId="0" xfId="2" applyFont="1"/>
    <xf numFmtId="0" fontId="0" fillId="16" borderId="0" xfId="0" applyFill="1" applyAlignment="1">
      <alignment horizontal="left" wrapText="1"/>
    </xf>
    <xf numFmtId="0" fontId="2" fillId="0" borderId="0" xfId="0" applyFont="1" applyAlignment="1">
      <alignment horizontal="left"/>
    </xf>
    <xf numFmtId="0" fontId="3" fillId="6" borderId="0" xfId="5" applyFont="1" applyAlignment="1">
      <alignment horizontal="left"/>
    </xf>
    <xf numFmtId="0" fontId="2" fillId="16" borderId="0" xfId="0" applyFont="1" applyFill="1" applyAlignment="1">
      <alignment horizontal="left" vertical="top" wrapText="1"/>
    </xf>
    <xf numFmtId="0" fontId="0" fillId="0" borderId="0" xfId="0" applyAlignment="1">
      <alignment horizontal="center"/>
    </xf>
    <xf numFmtId="0" fontId="3" fillId="9" borderId="0" xfId="8" applyFont="1"/>
    <xf numFmtId="0" fontId="12" fillId="0" borderId="0" xfId="0" applyFont="1" applyAlignment="1">
      <alignment wrapText="1"/>
    </xf>
    <xf numFmtId="0" fontId="2" fillId="0" borderId="0" xfId="0" applyFont="1" applyAlignment="1">
      <alignment horizontal="left" vertical="top" wrapText="1"/>
    </xf>
    <xf numFmtId="0" fontId="0" fillId="17" borderId="0" xfId="0" applyFill="1" applyAlignment="1">
      <alignment wrapText="1"/>
    </xf>
    <xf numFmtId="0" fontId="0" fillId="18" borderId="0" xfId="0" applyFill="1" applyAlignment="1">
      <alignment wrapText="1"/>
    </xf>
  </cellXfs>
  <cellStyles count="13">
    <cellStyle name="20 % - Accent1" xfId="3" builtinId="30"/>
    <cellStyle name="60 % - Accent1" xfId="2" builtinId="32"/>
    <cellStyle name="60 % - Accent2" xfId="5" builtinId="36"/>
    <cellStyle name="60 % - Accent3" xfId="12" builtinId="40"/>
    <cellStyle name="60 % - Accent6" xfId="8" builtinId="52"/>
    <cellStyle name="Accent1" xfId="1" builtinId="29"/>
    <cellStyle name="Accent2" xfId="4" builtinId="33"/>
    <cellStyle name="Accent3" xfId="6" builtinId="37"/>
    <cellStyle name="Accent6" xfId="7" builtinId="49"/>
    <cellStyle name="Calcul" xfId="9" builtinId="22"/>
    <cellStyle name="Entrée" xfId="10" builtinId="20"/>
    <cellStyle name="Normal" xfId="0" builtinId="0"/>
    <cellStyle name="Sortie" xfId="11" builtinId="21"/>
  </cellStyles>
  <dxfs count="16">
    <dxf>
      <font>
        <color theme="0"/>
      </font>
      <fill>
        <patternFill>
          <bgColor rgb="FFFFC000"/>
        </patternFill>
      </fill>
    </dxf>
    <dxf>
      <font>
        <color theme="0"/>
      </font>
      <fill>
        <patternFill>
          <bgColor rgb="FFC00000"/>
        </patternFill>
      </fill>
    </dxf>
    <dxf>
      <fill>
        <patternFill>
          <bgColor rgb="FF92D050"/>
        </patternFill>
      </fill>
    </dxf>
    <dxf>
      <font>
        <color theme="0"/>
      </font>
      <fill>
        <patternFill>
          <bgColor rgb="FF00B050"/>
        </patternFill>
      </fill>
    </dxf>
    <dxf>
      <font>
        <color theme="0"/>
      </font>
      <fill>
        <patternFill>
          <bgColor rgb="FFFFC000"/>
        </patternFill>
      </fill>
    </dxf>
    <dxf>
      <font>
        <color theme="0"/>
      </font>
      <fill>
        <patternFill>
          <bgColor rgb="FFC00000"/>
        </patternFill>
      </fill>
    </dxf>
    <dxf>
      <fill>
        <patternFill>
          <bgColor rgb="FF92D050"/>
        </patternFill>
      </fill>
    </dxf>
    <dxf>
      <font>
        <color theme="0"/>
      </font>
      <fill>
        <patternFill>
          <bgColor rgb="FF00B050"/>
        </patternFill>
      </fill>
    </dxf>
    <dxf>
      <font>
        <color theme="0"/>
      </font>
      <fill>
        <patternFill>
          <bgColor rgb="FFFFC000"/>
        </patternFill>
      </fill>
    </dxf>
    <dxf>
      <font>
        <color theme="0"/>
      </font>
      <fill>
        <patternFill>
          <bgColor rgb="FFC00000"/>
        </patternFill>
      </fill>
    </dxf>
    <dxf>
      <fill>
        <patternFill>
          <bgColor rgb="FF92D050"/>
        </patternFill>
      </fill>
    </dxf>
    <dxf>
      <font>
        <color theme="0"/>
      </font>
      <fill>
        <patternFill>
          <bgColor rgb="FF00B050"/>
        </patternFill>
      </fill>
    </dxf>
    <dxf>
      <font>
        <color theme="0"/>
      </font>
      <fill>
        <patternFill>
          <bgColor rgb="FFFFC000"/>
        </patternFill>
      </fill>
    </dxf>
    <dxf>
      <font>
        <color theme="0"/>
      </font>
      <fill>
        <patternFill>
          <bgColor rgb="FFC00000"/>
        </patternFill>
      </fill>
    </dxf>
    <dxf>
      <fill>
        <patternFill>
          <bgColor rgb="FF92D050"/>
        </patternFill>
      </fill>
    </dxf>
    <dxf>
      <font>
        <color theme="0"/>
      </font>
      <fill>
        <patternFill>
          <bgColor rgb="FF00B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8"/>
  <sheetViews>
    <sheetView topLeftCell="A49" zoomScaleNormal="100" workbookViewId="0">
      <selection activeCell="L50" sqref="L50"/>
    </sheetView>
  </sheetViews>
  <sheetFormatPr baseColWidth="10" defaultColWidth="9.453125" defaultRowHeight="14.5" x14ac:dyDescent="0.35"/>
  <cols>
    <col min="10" max="10" width="10.453125" customWidth="1"/>
    <col min="11" max="11" width="9.453125" customWidth="1"/>
    <col min="12" max="12" width="41.453125" customWidth="1"/>
    <col min="13" max="13" width="18.54296875" customWidth="1"/>
    <col min="14" max="17" width="4.54296875" bestFit="1" customWidth="1"/>
    <col min="18" max="18" width="4.1796875" bestFit="1" customWidth="1"/>
  </cols>
  <sheetData>
    <row r="1" spans="1:21" ht="21" customHeight="1" x14ac:dyDescent="0.5">
      <c r="A1" s="30" t="s">
        <v>0</v>
      </c>
      <c r="B1" s="31"/>
      <c r="C1" s="31"/>
      <c r="D1" s="31"/>
      <c r="E1" s="31"/>
      <c r="F1" s="31"/>
      <c r="G1" s="31"/>
      <c r="H1" s="31"/>
      <c r="I1" s="31"/>
      <c r="J1" s="31"/>
    </row>
    <row r="2" spans="1:21" x14ac:dyDescent="0.35">
      <c r="M2" s="16" t="s">
        <v>1</v>
      </c>
      <c r="N2" s="16" t="s">
        <v>2</v>
      </c>
      <c r="O2" s="16" t="s">
        <v>3</v>
      </c>
      <c r="P2" s="16" t="s">
        <v>4</v>
      </c>
      <c r="Q2" s="16" t="s">
        <v>5</v>
      </c>
      <c r="R2" s="16" t="s">
        <v>6</v>
      </c>
    </row>
    <row r="3" spans="1:21" x14ac:dyDescent="0.35">
      <c r="A3" s="46" t="s">
        <v>7</v>
      </c>
      <c r="B3" s="31"/>
      <c r="C3" s="33" t="s">
        <v>8</v>
      </c>
      <c r="D3" s="31"/>
      <c r="E3" s="31"/>
      <c r="G3" s="28" t="s">
        <v>9</v>
      </c>
      <c r="K3" s="8" t="s">
        <v>10</v>
      </c>
      <c r="M3" s="38" t="s">
        <v>11</v>
      </c>
      <c r="N3" s="17">
        <f>IF($O$5=$N$5,TRUNC($N$14/$O$14),0)</f>
        <v>0</v>
      </c>
      <c r="O3" s="17">
        <f>IF($O$5=$N$5,TRUNC($N$20/$O$20),0)</f>
        <v>1</v>
      </c>
      <c r="P3" s="17">
        <f>IF($O$5=$N$5,TRUNC($N$27/$O$27),0)</f>
        <v>1</v>
      </c>
      <c r="Q3" s="17">
        <f>IF($O$5=$N$5,TRUNC($N$33/$O$33),0)</f>
        <v>1</v>
      </c>
      <c r="R3" s="17">
        <f>IF($O$5=$N$5,TRUNC($N$39/$O$39),0)</f>
        <v>0</v>
      </c>
    </row>
    <row r="4" spans="1:21" x14ac:dyDescent="0.35">
      <c r="A4" s="28" t="s">
        <v>12</v>
      </c>
      <c r="B4" s="28"/>
      <c r="C4" t="s">
        <v>13</v>
      </c>
      <c r="M4" s="31"/>
      <c r="N4" s="17"/>
      <c r="O4" s="17"/>
      <c r="P4" s="17"/>
      <c r="Q4" s="17"/>
      <c r="R4" s="17"/>
    </row>
    <row r="5" spans="1:21" ht="43.5" customHeight="1" x14ac:dyDescent="0.35">
      <c r="A5" s="40" t="s">
        <v>14</v>
      </c>
      <c r="B5" s="31"/>
      <c r="C5" s="31"/>
      <c r="D5" s="31"/>
      <c r="E5" s="31"/>
      <c r="F5" s="31"/>
      <c r="G5" s="31"/>
      <c r="H5" s="31"/>
      <c r="I5" s="31"/>
      <c r="J5" s="31"/>
      <c r="K5" s="5" t="s">
        <v>15</v>
      </c>
      <c r="L5" s="20" t="s">
        <v>16</v>
      </c>
      <c r="M5" s="6" t="s">
        <v>17</v>
      </c>
      <c r="N5" s="6">
        <f>SUM($K$7:$K$12)</f>
        <v>6</v>
      </c>
      <c r="O5" s="7">
        <v>6</v>
      </c>
      <c r="Q5" s="42" t="s">
        <v>18</v>
      </c>
      <c r="R5" s="31"/>
      <c r="S5" s="31"/>
      <c r="T5" s="31"/>
      <c r="U5" s="31"/>
    </row>
    <row r="6" spans="1:21" x14ac:dyDescent="0.35">
      <c r="A6" s="47" t="s">
        <v>19</v>
      </c>
      <c r="B6" s="31"/>
      <c r="C6" s="31"/>
      <c r="D6" s="31"/>
      <c r="E6" s="31"/>
      <c r="F6" s="31"/>
      <c r="G6" s="31"/>
      <c r="H6" s="31"/>
      <c r="I6" s="31"/>
      <c r="J6" s="31"/>
      <c r="K6" s="31"/>
    </row>
    <row r="7" spans="1:21" ht="36.75" customHeight="1" x14ac:dyDescent="0.35">
      <c r="A7" s="39" t="s">
        <v>20</v>
      </c>
      <c r="B7" s="31"/>
      <c r="C7" s="31"/>
      <c r="D7" s="31"/>
      <c r="E7" s="31"/>
      <c r="F7" s="31"/>
      <c r="G7" s="31"/>
      <c r="H7" s="31"/>
      <c r="I7" s="31"/>
      <c r="J7" s="31"/>
      <c r="K7">
        <v>1</v>
      </c>
      <c r="L7" s="19"/>
      <c r="Q7" s="34"/>
      <c r="R7" s="31"/>
      <c r="S7" s="31"/>
      <c r="T7" s="31"/>
      <c r="U7" s="31"/>
    </row>
    <row r="8" spans="1:21" ht="42.65" customHeight="1" x14ac:dyDescent="0.35">
      <c r="A8" s="39" t="s">
        <v>21</v>
      </c>
      <c r="B8" s="31"/>
      <c r="C8" s="31"/>
      <c r="D8" s="31"/>
      <c r="E8" s="31"/>
      <c r="F8" s="31"/>
      <c r="G8" s="31"/>
      <c r="H8" s="31"/>
      <c r="I8" s="31"/>
      <c r="J8" s="31"/>
      <c r="K8" s="15">
        <f>IF(N8&lt;=O8,1,0)</f>
        <v>1</v>
      </c>
      <c r="L8" s="19"/>
      <c r="M8" s="14" t="s">
        <v>22</v>
      </c>
      <c r="N8">
        <v>1</v>
      </c>
      <c r="O8" s="11">
        <v>3</v>
      </c>
      <c r="Q8" s="34"/>
      <c r="R8" s="31"/>
      <c r="S8" s="31"/>
      <c r="T8" s="31"/>
      <c r="U8" s="31"/>
    </row>
    <row r="9" spans="1:21" ht="30" customHeight="1" x14ac:dyDescent="0.35">
      <c r="A9" s="39" t="s">
        <v>23</v>
      </c>
      <c r="B9" s="31"/>
      <c r="C9" s="31"/>
      <c r="D9" s="31"/>
      <c r="E9" s="31"/>
      <c r="F9" s="31"/>
      <c r="G9" s="31"/>
      <c r="H9" s="31"/>
      <c r="I9" s="31"/>
      <c r="J9" s="31"/>
      <c r="K9">
        <v>1</v>
      </c>
      <c r="L9" s="19"/>
      <c r="Q9" s="34"/>
      <c r="R9" s="31"/>
      <c r="S9" s="31"/>
      <c r="T9" s="31"/>
      <c r="U9" s="31"/>
    </row>
    <row r="10" spans="1:21" ht="37.4" customHeight="1" x14ac:dyDescent="0.35">
      <c r="A10" s="39" t="s">
        <v>24</v>
      </c>
      <c r="B10" s="31"/>
      <c r="C10" s="31"/>
      <c r="D10" s="31"/>
      <c r="E10" s="31"/>
      <c r="F10" s="31"/>
      <c r="G10" s="31"/>
      <c r="H10" s="31"/>
      <c r="I10" s="31"/>
      <c r="J10" s="31"/>
      <c r="K10">
        <v>1</v>
      </c>
      <c r="L10" s="19"/>
      <c r="Q10" s="34"/>
      <c r="R10" s="31"/>
      <c r="S10" s="31"/>
      <c r="T10" s="31"/>
      <c r="U10" s="31"/>
    </row>
    <row r="11" spans="1:21" ht="36.75" customHeight="1" x14ac:dyDescent="0.35">
      <c r="A11" s="39" t="s">
        <v>25</v>
      </c>
      <c r="B11" s="31"/>
      <c r="C11" s="31"/>
      <c r="D11" s="31"/>
      <c r="E11" s="31"/>
      <c r="F11" s="31"/>
      <c r="G11" s="31"/>
      <c r="H11" s="31"/>
      <c r="I11" s="31"/>
      <c r="J11" s="31"/>
      <c r="K11">
        <v>1</v>
      </c>
      <c r="L11" s="19"/>
      <c r="Q11" s="34"/>
      <c r="R11" s="31"/>
      <c r="S11" s="31"/>
      <c r="T11" s="31"/>
      <c r="U11" s="31"/>
    </row>
    <row r="12" spans="1:21" ht="55.4" customHeight="1" x14ac:dyDescent="0.35">
      <c r="A12" s="39" t="s">
        <v>26</v>
      </c>
      <c r="B12" s="31"/>
      <c r="C12" s="31"/>
      <c r="D12" s="31"/>
      <c r="E12" s="31"/>
      <c r="F12" s="31"/>
      <c r="G12" s="31"/>
      <c r="H12" s="31"/>
      <c r="I12" s="31"/>
      <c r="J12" s="31"/>
      <c r="K12" s="15">
        <f>IF(N12&lt;=O12,1,0)</f>
        <v>1</v>
      </c>
      <c r="L12" s="18" t="s">
        <v>27</v>
      </c>
      <c r="M12" t="s">
        <v>28</v>
      </c>
      <c r="N12">
        <v>0</v>
      </c>
      <c r="O12" s="11">
        <v>3</v>
      </c>
      <c r="P12" s="10"/>
      <c r="Q12" s="34"/>
      <c r="R12" s="31"/>
      <c r="S12" s="31"/>
      <c r="T12" s="31"/>
      <c r="U12" s="31"/>
    </row>
    <row r="13" spans="1:21" ht="27.65" customHeight="1" x14ac:dyDescent="0.35">
      <c r="A13" s="9"/>
      <c r="B13" s="9"/>
      <c r="C13" s="9"/>
      <c r="D13" s="9"/>
      <c r="E13" s="9"/>
      <c r="F13" s="9"/>
      <c r="G13" s="9"/>
      <c r="H13" s="9"/>
      <c r="I13" s="9"/>
      <c r="J13" s="9"/>
      <c r="K13" s="8"/>
      <c r="O13" s="13"/>
      <c r="P13" s="10"/>
      <c r="Q13" s="10"/>
      <c r="R13" s="10"/>
      <c r="S13" s="10"/>
      <c r="T13" s="10"/>
    </row>
    <row r="14" spans="1:21" x14ac:dyDescent="0.35">
      <c r="A14" s="41" t="s">
        <v>29</v>
      </c>
      <c r="B14" s="31"/>
      <c r="C14" s="31"/>
      <c r="D14" s="31"/>
      <c r="E14" s="31"/>
      <c r="F14" s="31"/>
      <c r="G14" s="31"/>
      <c r="H14" s="31"/>
      <c r="I14" s="31"/>
      <c r="J14" s="31"/>
      <c r="K14" s="1" t="s">
        <v>30</v>
      </c>
      <c r="M14" s="3" t="s">
        <v>31</v>
      </c>
      <c r="N14" s="3">
        <f>SUM($K$16:$K$19)</f>
        <v>3</v>
      </c>
      <c r="O14" s="3">
        <v>4</v>
      </c>
    </row>
    <row r="15" spans="1:21" x14ac:dyDescent="0.35">
      <c r="A15" s="44" t="s">
        <v>32</v>
      </c>
      <c r="B15" s="31"/>
      <c r="C15" s="31"/>
      <c r="D15" s="31"/>
      <c r="E15" s="31"/>
      <c r="F15" s="31"/>
      <c r="G15" s="31"/>
      <c r="H15" s="31"/>
      <c r="I15" s="31"/>
      <c r="J15" s="31"/>
      <c r="K15" s="31"/>
      <c r="M15" s="12"/>
      <c r="N15" s="12"/>
      <c r="O15" s="12"/>
    </row>
    <row r="16" spans="1:21" ht="82.5" customHeight="1" x14ac:dyDescent="0.35">
      <c r="A16" s="35" t="s">
        <v>33</v>
      </c>
      <c r="B16" s="31"/>
      <c r="C16" s="31"/>
      <c r="D16" s="31"/>
      <c r="E16" s="31"/>
      <c r="F16" s="31"/>
      <c r="G16" s="31"/>
      <c r="H16" s="31"/>
      <c r="I16" s="31"/>
      <c r="J16" s="31"/>
      <c r="K16">
        <v>0</v>
      </c>
      <c r="L16" s="18" t="s">
        <v>34</v>
      </c>
      <c r="M16" s="10"/>
      <c r="N16" s="10"/>
      <c r="O16" s="10"/>
      <c r="Q16" s="34"/>
      <c r="R16" s="31"/>
      <c r="S16" s="31"/>
      <c r="T16" s="31"/>
      <c r="U16" s="31"/>
    </row>
    <row r="17" spans="1:21" ht="75" customHeight="1" x14ac:dyDescent="0.35">
      <c r="A17" s="35" t="s">
        <v>35</v>
      </c>
      <c r="B17" s="31"/>
      <c r="C17" s="31"/>
      <c r="D17" s="31"/>
      <c r="E17" s="31"/>
      <c r="F17" s="31"/>
      <c r="G17" s="31"/>
      <c r="H17" s="31"/>
      <c r="I17" s="31"/>
      <c r="J17" s="31"/>
      <c r="K17">
        <v>1</v>
      </c>
      <c r="L17" s="18" t="s">
        <v>36</v>
      </c>
      <c r="Q17" s="36" t="s">
        <v>37</v>
      </c>
      <c r="R17" s="31"/>
      <c r="S17" s="31"/>
      <c r="T17" s="31"/>
      <c r="U17" s="31"/>
    </row>
    <row r="18" spans="1:21" ht="98.5" customHeight="1" x14ac:dyDescent="0.35">
      <c r="A18" s="35" t="s">
        <v>38</v>
      </c>
      <c r="B18" s="31"/>
      <c r="C18" s="31"/>
      <c r="D18" s="31"/>
      <c r="E18" s="31"/>
      <c r="F18" s="31"/>
      <c r="G18" s="31"/>
      <c r="H18" s="31"/>
      <c r="I18" s="31"/>
      <c r="J18" s="31"/>
      <c r="K18">
        <v>1</v>
      </c>
      <c r="L18" s="18" t="s">
        <v>34</v>
      </c>
      <c r="Q18" s="34"/>
      <c r="R18" s="31"/>
      <c r="S18" s="31"/>
      <c r="T18" s="31"/>
      <c r="U18" s="31"/>
    </row>
    <row r="19" spans="1:21" ht="60.75" customHeight="1" x14ac:dyDescent="0.35">
      <c r="A19" s="35" t="s">
        <v>39</v>
      </c>
      <c r="B19" s="31"/>
      <c r="C19" s="31"/>
      <c r="D19" s="31"/>
      <c r="E19" s="31"/>
      <c r="F19" s="31"/>
      <c r="G19" s="31"/>
      <c r="H19" s="31"/>
      <c r="I19" s="31"/>
      <c r="J19" s="31"/>
      <c r="K19">
        <v>1</v>
      </c>
      <c r="L19" s="18" t="s">
        <v>40</v>
      </c>
      <c r="Q19" s="34" t="s">
        <v>41</v>
      </c>
      <c r="R19" s="31"/>
      <c r="S19" s="31"/>
      <c r="T19" s="31"/>
      <c r="U19" s="31"/>
    </row>
    <row r="20" spans="1:21" x14ac:dyDescent="0.35">
      <c r="A20" s="41" t="s">
        <v>42</v>
      </c>
      <c r="B20" s="31"/>
      <c r="C20" s="31"/>
      <c r="D20" s="31"/>
      <c r="E20" s="31"/>
      <c r="F20" s="31"/>
      <c r="G20" s="31"/>
      <c r="H20" s="31"/>
      <c r="I20" s="31"/>
      <c r="J20" s="31"/>
      <c r="K20" s="1"/>
      <c r="M20" s="3" t="s">
        <v>43</v>
      </c>
      <c r="N20" s="3">
        <f>SUM($K$22:$K$26)</f>
        <v>5</v>
      </c>
      <c r="O20" s="4">
        <v>5</v>
      </c>
    </row>
    <row r="21" spans="1:21" x14ac:dyDescent="0.35">
      <c r="A21" s="44" t="s">
        <v>32</v>
      </c>
      <c r="B21" s="31"/>
      <c r="C21" s="31"/>
      <c r="D21" s="31"/>
      <c r="E21" s="31"/>
      <c r="F21" s="31"/>
      <c r="G21" s="31"/>
      <c r="H21" s="31"/>
      <c r="I21" s="31"/>
      <c r="J21" s="31"/>
      <c r="K21" s="31"/>
      <c r="M21" s="3"/>
      <c r="N21" s="3"/>
      <c r="O21" s="3"/>
    </row>
    <row r="22" spans="1:21" ht="80.5" customHeight="1" x14ac:dyDescent="0.35">
      <c r="A22" s="35" t="s">
        <v>44</v>
      </c>
      <c r="B22" s="31"/>
      <c r="C22" s="31"/>
      <c r="D22" s="31"/>
      <c r="E22" s="31"/>
      <c r="F22" s="31"/>
      <c r="G22" s="31"/>
      <c r="H22" s="31"/>
      <c r="I22" s="31"/>
      <c r="J22" s="31"/>
      <c r="K22">
        <v>1</v>
      </c>
      <c r="L22" s="18" t="s">
        <v>45</v>
      </c>
      <c r="M22" s="10"/>
      <c r="N22" s="10"/>
      <c r="O22" s="10"/>
      <c r="Q22" s="36" t="s">
        <v>46</v>
      </c>
      <c r="R22" s="31"/>
      <c r="S22" s="31"/>
      <c r="T22" s="31"/>
      <c r="U22" s="31"/>
    </row>
    <row r="23" spans="1:21" ht="56.5" customHeight="1" x14ac:dyDescent="0.35">
      <c r="A23" s="35" t="s">
        <v>47</v>
      </c>
      <c r="B23" s="31"/>
      <c r="C23" s="31"/>
      <c r="D23" s="31"/>
      <c r="E23" s="31"/>
      <c r="F23" s="31"/>
      <c r="G23" s="31"/>
      <c r="H23" s="31"/>
      <c r="I23" s="31"/>
      <c r="J23" s="31"/>
      <c r="K23">
        <v>1</v>
      </c>
      <c r="L23" s="18" t="s">
        <v>48</v>
      </c>
      <c r="Q23" s="34"/>
      <c r="R23" s="31"/>
      <c r="S23" s="31"/>
      <c r="T23" s="31"/>
      <c r="U23" s="31"/>
    </row>
    <row r="24" spans="1:21" ht="55.5" customHeight="1" x14ac:dyDescent="0.35">
      <c r="A24" s="35" t="s">
        <v>49</v>
      </c>
      <c r="B24" s="31"/>
      <c r="C24" s="31"/>
      <c r="D24" s="31"/>
      <c r="E24" s="31"/>
      <c r="F24" s="31"/>
      <c r="G24" s="31"/>
      <c r="H24" s="31"/>
      <c r="I24" s="31"/>
      <c r="J24" s="31"/>
      <c r="K24">
        <v>1</v>
      </c>
      <c r="L24" s="18" t="s">
        <v>50</v>
      </c>
      <c r="Q24" s="34"/>
      <c r="R24" s="31"/>
      <c r="S24" s="31"/>
      <c r="T24" s="31"/>
      <c r="U24" s="31"/>
    </row>
    <row r="25" spans="1:21" ht="69.75" customHeight="1" x14ac:dyDescent="0.35">
      <c r="A25" s="37" t="s">
        <v>51</v>
      </c>
      <c r="B25" s="31"/>
      <c r="C25" s="31"/>
      <c r="D25" s="31"/>
      <c r="E25" s="31"/>
      <c r="F25" s="31"/>
      <c r="G25" s="31"/>
      <c r="H25" s="31"/>
      <c r="I25" s="31"/>
      <c r="J25" s="31"/>
      <c r="K25" s="21">
        <v>1</v>
      </c>
      <c r="L25" s="22" t="s">
        <v>52</v>
      </c>
      <c r="Q25" s="34"/>
      <c r="R25" s="31"/>
      <c r="S25" s="31"/>
      <c r="T25" s="31"/>
      <c r="U25" s="31"/>
    </row>
    <row r="26" spans="1:21" ht="74.25" customHeight="1" x14ac:dyDescent="0.35">
      <c r="A26" s="37" t="s">
        <v>53</v>
      </c>
      <c r="B26" s="31"/>
      <c r="C26" s="31"/>
      <c r="D26" s="31"/>
      <c r="E26" s="31"/>
      <c r="F26" s="31"/>
      <c r="G26" s="31"/>
      <c r="H26" s="31"/>
      <c r="I26" s="31"/>
      <c r="J26" s="31"/>
      <c r="K26" s="21">
        <v>1</v>
      </c>
      <c r="L26" s="22" t="s">
        <v>54</v>
      </c>
      <c r="Q26" s="34"/>
      <c r="R26" s="31"/>
      <c r="S26" s="31"/>
      <c r="T26" s="31"/>
      <c r="U26" s="31"/>
    </row>
    <row r="27" spans="1:21" x14ac:dyDescent="0.35">
      <c r="A27" s="41" t="s">
        <v>55</v>
      </c>
      <c r="B27" s="31"/>
      <c r="C27" s="31"/>
      <c r="D27" s="31"/>
      <c r="E27" s="31"/>
      <c r="F27" s="31"/>
      <c r="G27" s="31"/>
      <c r="H27" s="31"/>
      <c r="I27" s="31"/>
      <c r="J27" s="31"/>
      <c r="K27" s="1"/>
      <c r="M27" s="3" t="s">
        <v>56</v>
      </c>
      <c r="N27" s="3">
        <f>SUM($K$29:$K32)</f>
        <v>4</v>
      </c>
      <c r="O27" s="4">
        <v>4</v>
      </c>
    </row>
    <row r="28" spans="1:21" x14ac:dyDescent="0.35">
      <c r="A28" s="44" t="s">
        <v>32</v>
      </c>
      <c r="B28" s="31"/>
      <c r="C28" s="31"/>
      <c r="D28" s="31"/>
      <c r="E28" s="31"/>
      <c r="F28" s="31"/>
      <c r="G28" s="31"/>
      <c r="H28" s="31"/>
      <c r="I28" s="31"/>
      <c r="J28" s="31"/>
      <c r="K28" s="31"/>
      <c r="M28" s="3"/>
      <c r="N28" s="3"/>
      <c r="O28" s="3"/>
    </row>
    <row r="29" spans="1:21" ht="87.65" customHeight="1" x14ac:dyDescent="0.35">
      <c r="A29" s="35" t="s">
        <v>57</v>
      </c>
      <c r="B29" s="31"/>
      <c r="C29" s="31"/>
      <c r="D29" s="31"/>
      <c r="E29" s="31"/>
      <c r="F29" s="31"/>
      <c r="G29" s="31"/>
      <c r="H29" s="31"/>
      <c r="I29" s="31"/>
      <c r="J29" s="31"/>
      <c r="K29">
        <v>1</v>
      </c>
      <c r="L29" s="18" t="s">
        <v>58</v>
      </c>
      <c r="Q29" s="34"/>
      <c r="R29" s="31"/>
      <c r="S29" s="31"/>
      <c r="T29" s="31"/>
      <c r="U29" s="31"/>
    </row>
    <row r="30" spans="1:21" ht="85.75" customHeight="1" x14ac:dyDescent="0.35">
      <c r="A30" s="39" t="s">
        <v>59</v>
      </c>
      <c r="B30" s="31"/>
      <c r="C30" s="31"/>
      <c r="D30" s="31"/>
      <c r="E30" s="31"/>
      <c r="F30" s="31"/>
      <c r="G30" s="31"/>
      <c r="H30" s="31"/>
      <c r="I30" s="31"/>
      <c r="J30" s="31"/>
      <c r="K30">
        <v>1</v>
      </c>
      <c r="L30" s="18" t="s">
        <v>58</v>
      </c>
      <c r="Q30" s="34"/>
      <c r="R30" s="31"/>
      <c r="S30" s="31"/>
      <c r="T30" s="31"/>
      <c r="U30" s="31"/>
    </row>
    <row r="31" spans="1:21" ht="99" customHeight="1" x14ac:dyDescent="0.35">
      <c r="A31" s="45" t="s">
        <v>60</v>
      </c>
      <c r="B31" s="31"/>
      <c r="C31" s="31"/>
      <c r="D31" s="31"/>
      <c r="E31" s="31"/>
      <c r="F31" s="31"/>
      <c r="G31" s="31"/>
      <c r="H31" s="31"/>
      <c r="I31" s="31"/>
      <c r="J31" s="31"/>
      <c r="K31" s="21">
        <v>1</v>
      </c>
      <c r="L31" s="22" t="s">
        <v>61</v>
      </c>
      <c r="Q31" s="34"/>
      <c r="R31" s="31"/>
      <c r="S31" s="31"/>
      <c r="T31" s="31"/>
      <c r="U31" s="31"/>
    </row>
    <row r="32" spans="1:21" ht="71.5" customHeight="1" x14ac:dyDescent="0.35">
      <c r="A32" s="48" t="s">
        <v>62</v>
      </c>
      <c r="B32" s="31"/>
      <c r="C32" s="31"/>
      <c r="D32" s="31"/>
      <c r="E32" s="31"/>
      <c r="F32" s="31"/>
      <c r="G32" s="31"/>
      <c r="H32" s="31"/>
      <c r="I32" s="31"/>
      <c r="J32" s="31"/>
      <c r="K32" s="21">
        <v>1</v>
      </c>
      <c r="L32" s="22" t="s">
        <v>63</v>
      </c>
    </row>
    <row r="33" spans="1:22" x14ac:dyDescent="0.35">
      <c r="A33" s="41" t="s">
        <v>64</v>
      </c>
      <c r="B33" s="31"/>
      <c r="C33" s="31"/>
      <c r="D33" s="31"/>
      <c r="E33" s="31"/>
      <c r="F33" s="31"/>
      <c r="G33" s="31"/>
      <c r="H33" s="31"/>
      <c r="I33" s="31"/>
      <c r="J33" s="31"/>
      <c r="K33" s="1"/>
      <c r="M33" s="3" t="s">
        <v>65</v>
      </c>
      <c r="N33" s="3">
        <f>SUM($K$35:$K39)</f>
        <v>4</v>
      </c>
      <c r="O33" s="4">
        <v>4</v>
      </c>
    </row>
    <row r="34" spans="1:22" x14ac:dyDescent="0.35">
      <c r="A34" s="44" t="s">
        <v>32</v>
      </c>
      <c r="B34" s="31"/>
      <c r="C34" s="31"/>
      <c r="D34" s="31"/>
      <c r="E34" s="31"/>
      <c r="F34" s="31"/>
      <c r="G34" s="31"/>
      <c r="H34" s="31"/>
      <c r="I34" s="31"/>
      <c r="J34" s="31"/>
      <c r="K34" s="31"/>
      <c r="M34" s="3"/>
      <c r="N34" s="3"/>
      <c r="O34" s="3"/>
    </row>
    <row r="35" spans="1:22" ht="49.4" customHeight="1" x14ac:dyDescent="0.35">
      <c r="A35" s="35" t="s">
        <v>66</v>
      </c>
      <c r="B35" s="31"/>
      <c r="C35" s="31"/>
      <c r="D35" s="31"/>
      <c r="E35" s="31"/>
      <c r="F35" s="31"/>
      <c r="G35" s="31"/>
      <c r="H35" s="31"/>
      <c r="I35" s="31"/>
      <c r="J35" s="31"/>
      <c r="K35">
        <v>1</v>
      </c>
      <c r="L35" s="18" t="s">
        <v>67</v>
      </c>
      <c r="M35" s="33"/>
      <c r="N35" s="31"/>
      <c r="O35" s="31"/>
      <c r="P35" s="31"/>
      <c r="Q35" s="31"/>
      <c r="R35" s="33"/>
      <c r="S35" s="31"/>
      <c r="T35" s="31"/>
      <c r="U35" s="31"/>
      <c r="V35" s="31"/>
    </row>
    <row r="36" spans="1:22" ht="54" customHeight="1" x14ac:dyDescent="0.35">
      <c r="A36" s="35" t="s">
        <v>68</v>
      </c>
      <c r="B36" s="31"/>
      <c r="C36" s="31"/>
      <c r="D36" s="31"/>
      <c r="E36" s="31"/>
      <c r="F36" s="31"/>
      <c r="G36" s="31"/>
      <c r="H36" s="31"/>
      <c r="I36" s="31"/>
      <c r="J36" s="31"/>
      <c r="K36">
        <v>1</v>
      </c>
      <c r="L36" s="18" t="s">
        <v>69</v>
      </c>
      <c r="M36" s="9"/>
      <c r="N36" s="9"/>
      <c r="O36" s="9"/>
      <c r="P36" s="9"/>
      <c r="Q36" s="34"/>
      <c r="R36" s="31"/>
      <c r="S36" s="31"/>
      <c r="T36" s="31"/>
      <c r="U36" s="31"/>
      <c r="V36" s="9"/>
    </row>
    <row r="37" spans="1:22" ht="28.4" customHeight="1" x14ac:dyDescent="0.35">
      <c r="A37" s="35" t="s">
        <v>70</v>
      </c>
      <c r="B37" s="31"/>
      <c r="C37" s="31"/>
      <c r="D37" s="31"/>
      <c r="E37" s="31"/>
      <c r="F37" s="31"/>
      <c r="G37" s="31"/>
      <c r="H37" s="31"/>
      <c r="I37" s="31"/>
      <c r="J37" s="31"/>
      <c r="K37">
        <v>1</v>
      </c>
      <c r="L37" s="19"/>
      <c r="M37" s="9"/>
      <c r="N37" s="9"/>
      <c r="O37" s="9"/>
      <c r="P37" s="9"/>
      <c r="Q37" s="34"/>
      <c r="R37" s="31"/>
      <c r="S37" s="31"/>
      <c r="T37" s="31"/>
      <c r="U37" s="31"/>
      <c r="V37" s="9"/>
    </row>
    <row r="38" spans="1:22" ht="28.4" customHeight="1" x14ac:dyDescent="0.35">
      <c r="A38" s="35" t="s">
        <v>71</v>
      </c>
      <c r="B38" s="31"/>
      <c r="C38" s="31"/>
      <c r="D38" s="31"/>
      <c r="E38" s="31"/>
      <c r="F38" s="31"/>
      <c r="G38" s="31"/>
      <c r="H38" s="31"/>
      <c r="I38" s="31"/>
      <c r="J38" s="31"/>
      <c r="K38">
        <v>1</v>
      </c>
      <c r="L38" s="19"/>
      <c r="M38" s="9"/>
      <c r="N38" s="9"/>
      <c r="O38" s="9"/>
      <c r="P38" s="9"/>
      <c r="Q38" s="34"/>
      <c r="R38" s="31"/>
      <c r="S38" s="31"/>
      <c r="T38" s="31"/>
      <c r="U38" s="31"/>
      <c r="V38" s="9"/>
    </row>
    <row r="39" spans="1:22" x14ac:dyDescent="0.35">
      <c r="A39" s="41" t="s">
        <v>72</v>
      </c>
      <c r="B39" s="31"/>
      <c r="C39" s="31"/>
      <c r="D39" s="31"/>
      <c r="E39" s="31"/>
      <c r="F39" s="31"/>
      <c r="G39" s="31"/>
      <c r="H39" s="31"/>
      <c r="I39" s="31"/>
      <c r="J39" s="31"/>
      <c r="K39" s="1"/>
      <c r="M39" s="3" t="s">
        <v>73</v>
      </c>
      <c r="N39" s="3">
        <f>SUM($K$41:$K44)</f>
        <v>3</v>
      </c>
      <c r="O39" s="4">
        <v>4</v>
      </c>
    </row>
    <row r="40" spans="1:22" x14ac:dyDescent="0.35">
      <c r="A40" s="44" t="s">
        <v>32</v>
      </c>
      <c r="B40" s="31"/>
      <c r="C40" s="31"/>
      <c r="D40" s="31"/>
      <c r="E40" s="31"/>
      <c r="F40" s="31"/>
      <c r="G40" s="31"/>
      <c r="H40" s="31"/>
      <c r="I40" s="31"/>
      <c r="J40" s="31"/>
      <c r="K40" s="31"/>
      <c r="M40" s="3"/>
      <c r="N40" s="3"/>
      <c r="O40" s="3"/>
    </row>
    <row r="41" spans="1:22" ht="69.650000000000006" customHeight="1" x14ac:dyDescent="0.35">
      <c r="A41" s="35" t="s">
        <v>74</v>
      </c>
      <c r="B41" s="31"/>
      <c r="C41" s="31"/>
      <c r="D41" s="31"/>
      <c r="E41" s="31"/>
      <c r="F41" s="31"/>
      <c r="G41" s="31"/>
      <c r="H41" s="31"/>
      <c r="I41" s="31"/>
      <c r="J41" s="31"/>
      <c r="K41">
        <v>0</v>
      </c>
      <c r="L41" s="18" t="s">
        <v>75</v>
      </c>
      <c r="Q41" s="34" t="s">
        <v>76</v>
      </c>
      <c r="R41" s="31"/>
      <c r="S41" s="31"/>
      <c r="T41" s="31"/>
      <c r="U41" s="31"/>
    </row>
    <row r="42" spans="1:22" ht="60" customHeight="1" x14ac:dyDescent="0.35">
      <c r="A42" s="35" t="s">
        <v>77</v>
      </c>
      <c r="B42" s="31"/>
      <c r="C42" s="31"/>
      <c r="D42" s="31"/>
      <c r="E42" s="31"/>
      <c r="F42" s="31"/>
      <c r="G42" s="31"/>
      <c r="H42" s="31"/>
      <c r="I42" s="31"/>
      <c r="J42" s="31"/>
      <c r="K42">
        <v>1</v>
      </c>
      <c r="L42" s="18" t="s">
        <v>78</v>
      </c>
      <c r="Q42" s="34"/>
      <c r="R42" s="31"/>
      <c r="S42" s="31"/>
      <c r="T42" s="31"/>
      <c r="U42" s="31"/>
    </row>
    <row r="43" spans="1:22" ht="60" customHeight="1" x14ac:dyDescent="0.35">
      <c r="A43" s="35" t="s">
        <v>79</v>
      </c>
      <c r="B43" s="31"/>
      <c r="C43" s="31"/>
      <c r="D43" s="31"/>
      <c r="E43" s="31"/>
      <c r="F43" s="31"/>
      <c r="G43" s="31"/>
      <c r="H43" s="31"/>
      <c r="I43" s="31"/>
      <c r="J43" s="31"/>
      <c r="K43">
        <v>1</v>
      </c>
      <c r="L43" s="18" t="s">
        <v>80</v>
      </c>
      <c r="Q43" s="34"/>
      <c r="R43" s="31"/>
      <c r="S43" s="31"/>
      <c r="T43" s="31"/>
      <c r="U43" s="31"/>
    </row>
    <row r="44" spans="1:22" ht="66" customHeight="1" x14ac:dyDescent="0.35">
      <c r="A44" s="37" t="s">
        <v>81</v>
      </c>
      <c r="B44" s="31"/>
      <c r="C44" s="31"/>
      <c r="D44" s="31"/>
      <c r="E44" s="31"/>
      <c r="F44" s="31"/>
      <c r="G44" s="31"/>
      <c r="H44" s="31"/>
      <c r="I44" s="31"/>
      <c r="J44" s="31"/>
      <c r="K44" s="21">
        <v>1</v>
      </c>
      <c r="L44" s="22" t="s">
        <v>82</v>
      </c>
      <c r="Q44" s="34"/>
      <c r="R44" s="31"/>
      <c r="S44" s="31"/>
      <c r="T44" s="31"/>
      <c r="U44" s="31"/>
    </row>
    <row r="45" spans="1:22" x14ac:dyDescent="0.35">
      <c r="A45" s="32" t="s">
        <v>83</v>
      </c>
      <c r="B45" s="31"/>
      <c r="C45" s="31"/>
      <c r="D45" s="31"/>
      <c r="E45" s="31"/>
      <c r="F45" s="31"/>
      <c r="G45" s="31"/>
      <c r="H45" s="31"/>
      <c r="I45" s="31"/>
      <c r="J45" s="31"/>
      <c r="K45" s="2"/>
      <c r="M45" s="3" t="s">
        <v>84</v>
      </c>
      <c r="N45" s="3">
        <f>IF(SUM($N$3:$R$3)&gt;3,SUM($K$47:$K56),0)</f>
        <v>0</v>
      </c>
      <c r="O45" s="4">
        <v>10</v>
      </c>
    </row>
    <row r="46" spans="1:22" x14ac:dyDescent="0.35">
      <c r="A46" s="50" t="s">
        <v>85</v>
      </c>
      <c r="B46" s="31"/>
      <c r="C46" s="31"/>
      <c r="D46" s="31"/>
      <c r="E46" s="31"/>
      <c r="F46" s="31"/>
      <c r="G46" s="31"/>
      <c r="H46" s="31"/>
      <c r="I46" s="31"/>
      <c r="J46" s="31"/>
      <c r="K46" s="31"/>
      <c r="M46" s="3"/>
      <c r="N46" s="3"/>
      <c r="O46" s="3"/>
    </row>
    <row r="47" spans="1:22" x14ac:dyDescent="0.35">
      <c r="A47" s="33" t="s">
        <v>86</v>
      </c>
      <c r="B47" s="31"/>
      <c r="C47" s="31"/>
      <c r="D47" s="31"/>
      <c r="E47" s="31"/>
      <c r="F47" s="31"/>
      <c r="G47" s="31"/>
      <c r="H47" s="31"/>
      <c r="I47" s="31"/>
      <c r="J47" s="31"/>
      <c r="K47">
        <v>1</v>
      </c>
      <c r="L47" s="19"/>
      <c r="Q47" s="34"/>
      <c r="R47" s="31"/>
      <c r="S47" s="31"/>
      <c r="T47" s="31"/>
      <c r="U47" s="31"/>
    </row>
    <row r="48" spans="1:22" x14ac:dyDescent="0.35">
      <c r="A48" s="33" t="s">
        <v>87</v>
      </c>
      <c r="B48" s="31"/>
      <c r="C48" s="31"/>
      <c r="D48" s="31"/>
      <c r="E48" s="31"/>
      <c r="F48" s="31"/>
      <c r="G48" s="31"/>
      <c r="H48" s="31"/>
      <c r="I48" s="31"/>
      <c r="J48" s="31"/>
      <c r="K48">
        <v>1</v>
      </c>
      <c r="L48" s="19"/>
      <c r="Q48" s="34"/>
      <c r="R48" s="31"/>
      <c r="S48" s="31"/>
      <c r="T48" s="31"/>
      <c r="U48" s="31"/>
    </row>
    <row r="49" spans="1:21" ht="192" customHeight="1" x14ac:dyDescent="0.35">
      <c r="A49" s="39" t="s">
        <v>88</v>
      </c>
      <c r="B49" s="31"/>
      <c r="C49" s="31"/>
      <c r="D49" s="31"/>
      <c r="E49" s="31"/>
      <c r="F49" s="31"/>
      <c r="G49" s="31"/>
      <c r="H49" s="31"/>
      <c r="I49" s="31"/>
      <c r="J49" s="31"/>
      <c r="K49">
        <v>1</v>
      </c>
      <c r="L49" s="18" t="s">
        <v>89</v>
      </c>
      <c r="Q49" s="34"/>
      <c r="R49" s="31"/>
      <c r="S49" s="31"/>
      <c r="T49" s="31"/>
      <c r="U49" s="31"/>
    </row>
    <row r="50" spans="1:21" ht="84" customHeight="1" x14ac:dyDescent="0.35">
      <c r="A50" s="39" t="s">
        <v>90</v>
      </c>
      <c r="B50" s="31"/>
      <c r="C50" s="31"/>
      <c r="D50" s="31"/>
      <c r="E50" s="31"/>
      <c r="F50" s="31"/>
      <c r="G50" s="31"/>
      <c r="H50" s="31"/>
      <c r="I50" s="31"/>
      <c r="J50" s="31"/>
      <c r="K50">
        <v>1</v>
      </c>
      <c r="L50" s="18" t="s">
        <v>91</v>
      </c>
      <c r="Q50" s="34"/>
      <c r="R50" s="31"/>
      <c r="S50" s="31"/>
      <c r="T50" s="31"/>
      <c r="U50" s="31"/>
    </row>
    <row r="51" spans="1:21" ht="43.75" customHeight="1" x14ac:dyDescent="0.35">
      <c r="A51" s="39" t="s">
        <v>92</v>
      </c>
      <c r="B51" s="31"/>
      <c r="C51" s="31"/>
      <c r="D51" s="31"/>
      <c r="E51" s="31"/>
      <c r="F51" s="31"/>
      <c r="G51" s="31"/>
      <c r="H51" s="31"/>
      <c r="I51" s="31"/>
      <c r="J51" s="31"/>
      <c r="K51">
        <v>1</v>
      </c>
      <c r="L51" s="18" t="s">
        <v>48</v>
      </c>
      <c r="Q51" s="34"/>
      <c r="R51" s="31"/>
      <c r="S51" s="31"/>
      <c r="T51" s="31"/>
      <c r="U51" s="31"/>
    </row>
    <row r="52" spans="1:21" ht="24" customHeight="1" x14ac:dyDescent="0.35">
      <c r="A52" s="45" t="s">
        <v>93</v>
      </c>
      <c r="B52" s="31"/>
      <c r="C52" s="31"/>
      <c r="D52" s="31"/>
      <c r="E52" s="31"/>
      <c r="F52" s="31"/>
      <c r="G52" s="31"/>
      <c r="H52" s="31"/>
      <c r="I52" s="31"/>
      <c r="J52" s="31"/>
      <c r="K52" s="21">
        <v>1</v>
      </c>
      <c r="L52" s="22" t="s">
        <v>94</v>
      </c>
      <c r="Q52" s="34"/>
      <c r="R52" s="31"/>
      <c r="S52" s="31"/>
      <c r="T52" s="31"/>
      <c r="U52" s="31"/>
    </row>
    <row r="53" spans="1:21" ht="28.75" customHeight="1" x14ac:dyDescent="0.35">
      <c r="A53" s="39" t="s">
        <v>95</v>
      </c>
      <c r="B53" s="31"/>
      <c r="C53" s="31"/>
      <c r="D53" s="31"/>
      <c r="E53" s="31"/>
      <c r="F53" s="31"/>
      <c r="G53" s="31"/>
      <c r="H53" s="31"/>
      <c r="I53" s="31"/>
      <c r="J53" s="31"/>
      <c r="K53">
        <v>1</v>
      </c>
      <c r="L53" s="18" t="s">
        <v>96</v>
      </c>
      <c r="Q53" s="34"/>
      <c r="R53" s="31"/>
      <c r="S53" s="31"/>
      <c r="T53" s="31"/>
      <c r="U53" s="31"/>
    </row>
    <row r="54" spans="1:21" ht="93" customHeight="1" x14ac:dyDescent="0.35">
      <c r="A54" s="39" t="s">
        <v>97</v>
      </c>
      <c r="B54" s="31"/>
      <c r="C54" s="31"/>
      <c r="D54" s="31"/>
      <c r="E54" s="31"/>
      <c r="F54" s="31"/>
      <c r="G54" s="31"/>
      <c r="H54" s="31"/>
      <c r="I54" s="31"/>
      <c r="J54" s="31"/>
      <c r="K54">
        <v>1</v>
      </c>
      <c r="L54" s="18" t="s">
        <v>98</v>
      </c>
      <c r="Q54" s="34"/>
      <c r="R54" s="31"/>
      <c r="S54" s="31"/>
      <c r="T54" s="31"/>
      <c r="U54" s="31"/>
    </row>
    <row r="55" spans="1:21" ht="28.4" customHeight="1" x14ac:dyDescent="0.35">
      <c r="A55" s="39" t="s">
        <v>99</v>
      </c>
      <c r="B55" s="31"/>
      <c r="C55" s="31"/>
      <c r="D55" s="31"/>
      <c r="E55" s="31"/>
      <c r="F55" s="31"/>
      <c r="G55" s="31"/>
      <c r="H55" s="31"/>
      <c r="I55" s="31"/>
      <c r="J55" s="31"/>
      <c r="K55">
        <v>1</v>
      </c>
      <c r="L55" s="18" t="s">
        <v>98</v>
      </c>
      <c r="Q55" s="34"/>
      <c r="R55" s="31"/>
      <c r="S55" s="31"/>
      <c r="T55" s="31"/>
      <c r="U55" s="31"/>
    </row>
    <row r="56" spans="1:21" ht="36" customHeight="1" x14ac:dyDescent="0.35">
      <c r="A56" s="45" t="s">
        <v>100</v>
      </c>
      <c r="B56" s="31"/>
      <c r="C56" s="31"/>
      <c r="D56" s="31"/>
      <c r="E56" s="31"/>
      <c r="F56" s="31"/>
      <c r="G56" s="31"/>
      <c r="H56" s="31"/>
      <c r="I56" s="31"/>
      <c r="J56" s="31"/>
      <c r="K56" s="21">
        <v>1</v>
      </c>
      <c r="L56" s="22" t="s">
        <v>101</v>
      </c>
      <c r="Q56" s="34"/>
      <c r="R56" s="31"/>
      <c r="S56" s="31"/>
      <c r="T56" s="31"/>
      <c r="U56" s="31"/>
    </row>
    <row r="58" spans="1:21" x14ac:dyDescent="0.35">
      <c r="H58" s="33" t="s">
        <v>102</v>
      </c>
      <c r="I58" s="31"/>
      <c r="J58" s="31"/>
      <c r="K58" t="str">
        <f>IF($N$5&lt;$O$5,"Non-Recevable",IF(SUM($N$3:$R$3)&lt;3,"Très insuffisant",IF(SUM($N$3:$R$3)&lt;5,"Insuffisant",IF(SUM($K$47:$K$56)&lt;5,"Bien","Très Bien"))))</f>
        <v>Insuffisant</v>
      </c>
      <c r="M58" s="33"/>
      <c r="N58" s="31"/>
      <c r="O58" s="31"/>
      <c r="P58" s="31"/>
      <c r="Q58" s="49"/>
      <c r="R58" s="31"/>
      <c r="S58" s="31"/>
      <c r="T58" s="31"/>
      <c r="U58" s="31"/>
    </row>
    <row r="59" spans="1:21" x14ac:dyDescent="0.35">
      <c r="H59" t="s">
        <v>103</v>
      </c>
    </row>
    <row r="60" spans="1:21" x14ac:dyDescent="0.35">
      <c r="H60" s="43"/>
      <c r="I60" s="31"/>
      <c r="J60" s="31"/>
      <c r="K60" s="31"/>
      <c r="L60" s="31"/>
      <c r="M60" s="31"/>
    </row>
    <row r="61" spans="1:21" x14ac:dyDescent="0.35">
      <c r="H61" s="31"/>
      <c r="I61" s="31"/>
      <c r="J61" s="31"/>
      <c r="K61" s="31"/>
      <c r="L61" s="31"/>
      <c r="M61" s="31"/>
    </row>
    <row r="62" spans="1:21" x14ac:dyDescent="0.35">
      <c r="H62" s="31"/>
      <c r="I62" s="31"/>
      <c r="J62" s="31"/>
      <c r="K62" s="31"/>
      <c r="L62" s="31"/>
      <c r="M62" s="31"/>
    </row>
    <row r="63" spans="1:21" x14ac:dyDescent="0.35">
      <c r="H63" s="31"/>
      <c r="I63" s="31"/>
      <c r="J63" s="31"/>
      <c r="K63" s="31"/>
      <c r="L63" s="31"/>
      <c r="M63" s="31"/>
    </row>
    <row r="64" spans="1:21" x14ac:dyDescent="0.35">
      <c r="H64" s="31"/>
      <c r="I64" s="31"/>
      <c r="J64" s="31"/>
      <c r="K64" s="31"/>
      <c r="L64" s="31"/>
      <c r="M64" s="31"/>
    </row>
    <row r="65" spans="8:13" x14ac:dyDescent="0.35">
      <c r="H65" s="31"/>
      <c r="I65" s="31"/>
      <c r="J65" s="31"/>
      <c r="K65" s="31"/>
      <c r="L65" s="31"/>
      <c r="M65" s="31"/>
    </row>
    <row r="66" spans="8:13" x14ac:dyDescent="0.35">
      <c r="H66" s="31"/>
      <c r="I66" s="31"/>
      <c r="J66" s="31"/>
      <c r="K66" s="31"/>
      <c r="L66" s="31"/>
      <c r="M66" s="31"/>
    </row>
    <row r="67" spans="8:13" x14ac:dyDescent="0.35">
      <c r="H67" s="31"/>
      <c r="I67" s="31"/>
      <c r="J67" s="31"/>
      <c r="K67" s="31"/>
      <c r="L67" s="31"/>
      <c r="M67" s="31"/>
    </row>
    <row r="68" spans="8:13" x14ac:dyDescent="0.35">
      <c r="H68" s="31"/>
      <c r="I68" s="31"/>
      <c r="J68" s="31"/>
      <c r="K68" s="31"/>
      <c r="L68" s="31"/>
      <c r="M68" s="31"/>
    </row>
  </sheetData>
  <mergeCells count="97">
    <mergeCell ref="H58:J58"/>
    <mergeCell ref="A28:K28"/>
    <mergeCell ref="A12:J12"/>
    <mergeCell ref="Q25:U25"/>
    <mergeCell ref="A44:J44"/>
    <mergeCell ref="Q58:U58"/>
    <mergeCell ref="A46:K46"/>
    <mergeCell ref="Q44:U44"/>
    <mergeCell ref="Q48:U48"/>
    <mergeCell ref="A50:J50"/>
    <mergeCell ref="A42:J42"/>
    <mergeCell ref="A47:J47"/>
    <mergeCell ref="M58:P58"/>
    <mergeCell ref="Q53:U53"/>
    <mergeCell ref="Q37:U37"/>
    <mergeCell ref="A43:J43"/>
    <mergeCell ref="A18:J18"/>
    <mergeCell ref="A23:J23"/>
    <mergeCell ref="A15:K15"/>
    <mergeCell ref="A55:J55"/>
    <mergeCell ref="Q41:U41"/>
    <mergeCell ref="A52:J52"/>
    <mergeCell ref="Q52:U52"/>
    <mergeCell ref="Q29:U29"/>
    <mergeCell ref="Q38:U38"/>
    <mergeCell ref="A49:J49"/>
    <mergeCell ref="Q31:U31"/>
    <mergeCell ref="A36:J36"/>
    <mergeCell ref="R35:V35"/>
    <mergeCell ref="Q23:U23"/>
    <mergeCell ref="Q56:U56"/>
    <mergeCell ref="A22:J22"/>
    <mergeCell ref="A20:J20"/>
    <mergeCell ref="Q24:U24"/>
    <mergeCell ref="Q26:U26"/>
    <mergeCell ref="Q47:U47"/>
    <mergeCell ref="A34:K34"/>
    <mergeCell ref="A25:J25"/>
    <mergeCell ref="Q18:U18"/>
    <mergeCell ref="M35:Q35"/>
    <mergeCell ref="A51:J51"/>
    <mergeCell ref="Q51:U51"/>
    <mergeCell ref="A32:J32"/>
    <mergeCell ref="Q43:U43"/>
    <mergeCell ref="A29:J29"/>
    <mergeCell ref="A38:J38"/>
    <mergeCell ref="Q42:U42"/>
    <mergeCell ref="A31:J31"/>
    <mergeCell ref="Q19:U19"/>
    <mergeCell ref="A24:J24"/>
    <mergeCell ref="Q50:U50"/>
    <mergeCell ref="A19:J19"/>
    <mergeCell ref="A39:J39"/>
    <mergeCell ref="A48:J48"/>
    <mergeCell ref="A3:B3"/>
    <mergeCell ref="A8:J8"/>
    <mergeCell ref="Q12:U12"/>
    <mergeCell ref="A17:J17"/>
    <mergeCell ref="A10:J10"/>
    <mergeCell ref="A6:K6"/>
    <mergeCell ref="A9:J9"/>
    <mergeCell ref="A11:J11"/>
    <mergeCell ref="Q7:U7"/>
    <mergeCell ref="A7:J7"/>
    <mergeCell ref="A16:J16"/>
    <mergeCell ref="H60:M68"/>
    <mergeCell ref="A21:K21"/>
    <mergeCell ref="Q49:U49"/>
    <mergeCell ref="A54:J54"/>
    <mergeCell ref="Q22:U22"/>
    <mergeCell ref="Q36:U36"/>
    <mergeCell ref="A41:J41"/>
    <mergeCell ref="Q30:U30"/>
    <mergeCell ref="A56:J56"/>
    <mergeCell ref="A27:J27"/>
    <mergeCell ref="A40:K40"/>
    <mergeCell ref="A33:J33"/>
    <mergeCell ref="A53:J53"/>
    <mergeCell ref="A35:J35"/>
    <mergeCell ref="Q54:U54"/>
    <mergeCell ref="Q55:U55"/>
    <mergeCell ref="A1:J1"/>
    <mergeCell ref="A45:J45"/>
    <mergeCell ref="C3:E3"/>
    <mergeCell ref="Q9:U9"/>
    <mergeCell ref="A37:J37"/>
    <mergeCell ref="Q17:U17"/>
    <mergeCell ref="Q11:U11"/>
    <mergeCell ref="A26:J26"/>
    <mergeCell ref="M3:M4"/>
    <mergeCell ref="A30:J30"/>
    <mergeCell ref="Q10:U10"/>
    <mergeCell ref="Q16:U16"/>
    <mergeCell ref="Q8:U8"/>
    <mergeCell ref="A5:J5"/>
    <mergeCell ref="A14:J14"/>
    <mergeCell ref="Q5:U5"/>
  </mergeCells>
  <conditionalFormatting sqref="K58">
    <cfRule type="containsText" dxfId="15" priority="1" operator="containsText" text="Très Bien">
      <formula>NOT(ISERROR(SEARCH("Très Bien",K58)))</formula>
    </cfRule>
    <cfRule type="containsText" dxfId="14" priority="2" operator="containsText" text="Bien">
      <formula>NOT(ISERROR(SEARCH("Bien",K58)))</formula>
    </cfRule>
    <cfRule type="containsText" dxfId="13" priority="3" operator="containsText" text="Très insuffisant">
      <formula>NOT(ISERROR(SEARCH("Très insuffisant",K58)))</formula>
    </cfRule>
    <cfRule type="containsText" dxfId="12" priority="4" operator="containsText" text="Insuffisant">
      <formula>NOT(ISERROR(SEARCH("Insuffisant",K58)))</formula>
    </cfRule>
  </conditionalFormatting>
  <pageMargins left="0.7" right="0.7" top="0.75" bottom="0.75" header="0.3" footer="0.3"/>
  <pageSetup paperSize="9" orientation="portrait" horizontalDpi="429496729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8"/>
  <sheetViews>
    <sheetView zoomScale="75" zoomScaleNormal="75" workbookViewId="0">
      <selection activeCell="Q13" sqref="Q13"/>
    </sheetView>
  </sheetViews>
  <sheetFormatPr baseColWidth="10" defaultColWidth="9.453125" defaultRowHeight="14.5" x14ac:dyDescent="0.35"/>
  <cols>
    <col min="10" max="10" width="10.453125" customWidth="1"/>
    <col min="11" max="11" width="9.453125" customWidth="1"/>
    <col min="12" max="12" width="41.453125" customWidth="1"/>
    <col min="13" max="13" width="18.54296875" customWidth="1"/>
    <col min="14" max="17" width="4.54296875" bestFit="1" customWidth="1"/>
    <col min="18" max="18" width="4.1796875" bestFit="1" customWidth="1"/>
  </cols>
  <sheetData>
    <row r="1" spans="1:21" ht="21" customHeight="1" x14ac:dyDescent="0.5">
      <c r="A1" s="30" t="s">
        <v>104</v>
      </c>
      <c r="B1" s="31"/>
      <c r="C1" s="31"/>
      <c r="D1" s="31"/>
      <c r="E1" s="31"/>
      <c r="F1" s="31"/>
      <c r="G1" s="31"/>
      <c r="H1" s="31"/>
      <c r="I1" s="31"/>
      <c r="J1" s="31"/>
    </row>
    <row r="2" spans="1:21" x14ac:dyDescent="0.35">
      <c r="M2" s="16" t="s">
        <v>1</v>
      </c>
      <c r="N2" s="16" t="s">
        <v>2</v>
      </c>
      <c r="O2" s="16" t="s">
        <v>3</v>
      </c>
      <c r="P2" s="16" t="s">
        <v>4</v>
      </c>
      <c r="Q2" s="16" t="s">
        <v>5</v>
      </c>
      <c r="R2" s="16" t="s">
        <v>6</v>
      </c>
    </row>
    <row r="3" spans="1:21" ht="14.5" customHeight="1" x14ac:dyDescent="0.35">
      <c r="A3" s="46" t="s">
        <v>7</v>
      </c>
      <c r="B3" s="31"/>
      <c r="C3" s="33" t="s">
        <v>8</v>
      </c>
      <c r="D3" s="31"/>
      <c r="E3" s="31"/>
      <c r="G3" s="28" t="s">
        <v>9</v>
      </c>
      <c r="K3" s="8" t="s">
        <v>105</v>
      </c>
      <c r="M3" s="38" t="s">
        <v>11</v>
      </c>
      <c r="N3" s="17">
        <f>IF($O$5=$N$5,TRUNC($N$14/$O$14),0)</f>
        <v>0</v>
      </c>
      <c r="O3" s="17">
        <f>IF($O$5=$N$5,TRUNC($N$20/$O$20),0)</f>
        <v>0</v>
      </c>
      <c r="P3" s="17">
        <f>IF($O$5=$N$5,TRUNC($N$27/$O$27),0)</f>
        <v>1</v>
      </c>
      <c r="Q3" s="17">
        <f>IF($O$5=$N$5,TRUNC($N$33/$O$33),0)</f>
        <v>1</v>
      </c>
      <c r="R3" s="17">
        <f>IF($O$5=$N$5,TRUNC($N$39/$O$39),0)</f>
        <v>1</v>
      </c>
    </row>
    <row r="4" spans="1:21" x14ac:dyDescent="0.35">
      <c r="A4" s="28" t="s">
        <v>12</v>
      </c>
      <c r="B4" s="28"/>
      <c r="C4" t="s">
        <v>13</v>
      </c>
      <c r="M4" s="31"/>
      <c r="N4" s="17"/>
      <c r="O4" s="17"/>
      <c r="P4" s="17"/>
      <c r="Q4" s="17"/>
      <c r="R4" s="17"/>
    </row>
    <row r="5" spans="1:21" ht="43.5" customHeight="1" x14ac:dyDescent="0.35">
      <c r="A5" s="40" t="s">
        <v>14</v>
      </c>
      <c r="B5" s="31"/>
      <c r="C5" s="31"/>
      <c r="D5" s="31"/>
      <c r="E5" s="31"/>
      <c r="F5" s="31"/>
      <c r="G5" s="31"/>
      <c r="H5" s="31"/>
      <c r="I5" s="31"/>
      <c r="J5" s="31"/>
      <c r="K5" s="5" t="s">
        <v>15</v>
      </c>
      <c r="L5" s="20" t="s">
        <v>16</v>
      </c>
      <c r="M5" s="6" t="s">
        <v>17</v>
      </c>
      <c r="N5" s="6">
        <f>SUM($K$7:$K$12)</f>
        <v>6</v>
      </c>
      <c r="O5" s="7">
        <v>6</v>
      </c>
      <c r="Q5" s="42" t="s">
        <v>18</v>
      </c>
      <c r="R5" s="31"/>
      <c r="S5" s="31"/>
      <c r="T5" s="31"/>
      <c r="U5" s="31"/>
    </row>
    <row r="6" spans="1:21" x14ac:dyDescent="0.35">
      <c r="A6" s="47" t="s">
        <v>19</v>
      </c>
      <c r="B6" s="31"/>
      <c r="C6" s="31"/>
      <c r="D6" s="31"/>
      <c r="E6" s="31"/>
      <c r="F6" s="31"/>
      <c r="G6" s="31"/>
      <c r="H6" s="31"/>
      <c r="I6" s="31"/>
      <c r="J6" s="31"/>
      <c r="K6" s="31"/>
    </row>
    <row r="7" spans="1:21" ht="36.75" customHeight="1" x14ac:dyDescent="0.35">
      <c r="A7" s="39" t="s">
        <v>20</v>
      </c>
      <c r="B7" s="31"/>
      <c r="C7" s="31"/>
      <c r="D7" s="31"/>
      <c r="E7" s="31"/>
      <c r="F7" s="31"/>
      <c r="G7" s="31"/>
      <c r="H7" s="31"/>
      <c r="I7" s="31"/>
      <c r="J7" s="31"/>
      <c r="K7">
        <v>1</v>
      </c>
      <c r="L7" s="19"/>
      <c r="Q7" s="34"/>
      <c r="R7" s="31"/>
      <c r="S7" s="31"/>
      <c r="T7" s="31"/>
      <c r="U7" s="31"/>
    </row>
    <row r="8" spans="1:21" ht="42.65" customHeight="1" x14ac:dyDescent="0.35">
      <c r="A8" s="39" t="s">
        <v>21</v>
      </c>
      <c r="B8" s="31"/>
      <c r="C8" s="31"/>
      <c r="D8" s="31"/>
      <c r="E8" s="31"/>
      <c r="F8" s="31"/>
      <c r="G8" s="31"/>
      <c r="H8" s="31"/>
      <c r="I8" s="31"/>
      <c r="J8" s="31"/>
      <c r="K8" s="15">
        <f>IF(N8&lt;=O8,1,0)</f>
        <v>1</v>
      </c>
      <c r="L8" s="19"/>
      <c r="M8" s="14" t="s">
        <v>22</v>
      </c>
      <c r="N8">
        <v>0</v>
      </c>
      <c r="O8" s="11">
        <v>3</v>
      </c>
      <c r="Q8" s="34"/>
      <c r="R8" s="31"/>
      <c r="S8" s="31"/>
      <c r="T8" s="31"/>
      <c r="U8" s="31"/>
    </row>
    <row r="9" spans="1:21" ht="30" customHeight="1" x14ac:dyDescent="0.35">
      <c r="A9" s="39" t="s">
        <v>23</v>
      </c>
      <c r="B9" s="31"/>
      <c r="C9" s="31"/>
      <c r="D9" s="31"/>
      <c r="E9" s="31"/>
      <c r="F9" s="31"/>
      <c r="G9" s="31"/>
      <c r="H9" s="31"/>
      <c r="I9" s="31"/>
      <c r="J9" s="31"/>
      <c r="K9">
        <v>1</v>
      </c>
      <c r="L9" s="19"/>
      <c r="Q9" s="34"/>
      <c r="R9" s="31"/>
      <c r="S9" s="31"/>
      <c r="T9" s="31"/>
      <c r="U9" s="31"/>
    </row>
    <row r="10" spans="1:21" ht="37.4" customHeight="1" x14ac:dyDescent="0.35">
      <c r="A10" s="39" t="s">
        <v>24</v>
      </c>
      <c r="B10" s="31"/>
      <c r="C10" s="31"/>
      <c r="D10" s="31"/>
      <c r="E10" s="31"/>
      <c r="F10" s="31"/>
      <c r="G10" s="31"/>
      <c r="H10" s="31"/>
      <c r="I10" s="31"/>
      <c r="J10" s="31"/>
      <c r="K10">
        <v>1</v>
      </c>
      <c r="L10" s="19"/>
      <c r="Q10" s="34" t="s">
        <v>106</v>
      </c>
      <c r="R10" s="31"/>
      <c r="S10" s="31"/>
      <c r="T10" s="31"/>
      <c r="U10" s="31"/>
    </row>
    <row r="11" spans="1:21" ht="36.75" customHeight="1" x14ac:dyDescent="0.35">
      <c r="A11" s="39" t="s">
        <v>25</v>
      </c>
      <c r="B11" s="31"/>
      <c r="C11" s="31"/>
      <c r="D11" s="31"/>
      <c r="E11" s="31"/>
      <c r="F11" s="31"/>
      <c r="G11" s="31"/>
      <c r="H11" s="31"/>
      <c r="I11" s="31"/>
      <c r="J11" s="31"/>
      <c r="K11">
        <v>1</v>
      </c>
      <c r="L11" s="19"/>
      <c r="Q11" s="34"/>
      <c r="R11" s="31"/>
      <c r="S11" s="31"/>
      <c r="T11" s="31"/>
      <c r="U11" s="31"/>
    </row>
    <row r="12" spans="1:21" ht="55.4" customHeight="1" x14ac:dyDescent="0.35">
      <c r="A12" s="39" t="s">
        <v>26</v>
      </c>
      <c r="B12" s="31"/>
      <c r="C12" s="31"/>
      <c r="D12" s="31"/>
      <c r="E12" s="31"/>
      <c r="F12" s="31"/>
      <c r="G12" s="31"/>
      <c r="H12" s="31"/>
      <c r="I12" s="31"/>
      <c r="J12" s="31"/>
      <c r="K12" s="15">
        <f>IF(N12&lt;=O12,1,0)</f>
        <v>1</v>
      </c>
      <c r="L12" s="18" t="s">
        <v>107</v>
      </c>
      <c r="M12" t="s">
        <v>28</v>
      </c>
      <c r="N12">
        <v>0</v>
      </c>
      <c r="O12" s="11">
        <v>3</v>
      </c>
      <c r="P12" s="10"/>
      <c r="Q12" s="36" t="s">
        <v>108</v>
      </c>
      <c r="R12" s="31"/>
      <c r="S12" s="31"/>
      <c r="T12" s="31"/>
      <c r="U12" s="31"/>
    </row>
    <row r="13" spans="1:21" ht="27.65" customHeight="1" x14ac:dyDescent="0.35">
      <c r="A13" s="9"/>
      <c r="B13" s="9"/>
      <c r="C13" s="9"/>
      <c r="D13" s="9"/>
      <c r="E13" s="9"/>
      <c r="F13" s="9"/>
      <c r="G13" s="9"/>
      <c r="H13" s="9"/>
      <c r="I13" s="9"/>
      <c r="J13" s="9"/>
      <c r="K13" s="8"/>
      <c r="O13" s="13"/>
      <c r="P13" s="10"/>
      <c r="Q13" s="10"/>
      <c r="R13" s="10"/>
      <c r="S13" s="10"/>
      <c r="T13" s="10"/>
    </row>
    <row r="14" spans="1:21" x14ac:dyDescent="0.35">
      <c r="A14" s="41" t="s">
        <v>29</v>
      </c>
      <c r="B14" s="31"/>
      <c r="C14" s="31"/>
      <c r="D14" s="31"/>
      <c r="E14" s="31"/>
      <c r="F14" s="31"/>
      <c r="G14" s="31"/>
      <c r="H14" s="31"/>
      <c r="I14" s="31"/>
      <c r="J14" s="31"/>
      <c r="K14" s="1" t="s">
        <v>30</v>
      </c>
      <c r="M14" s="3" t="s">
        <v>31</v>
      </c>
      <c r="N14" s="3">
        <f>SUM($K$16:$K$19)</f>
        <v>2</v>
      </c>
      <c r="O14" s="3">
        <v>4</v>
      </c>
    </row>
    <row r="15" spans="1:21" x14ac:dyDescent="0.35">
      <c r="A15" s="44" t="s">
        <v>32</v>
      </c>
      <c r="B15" s="31"/>
      <c r="C15" s="31"/>
      <c r="D15" s="31"/>
      <c r="E15" s="31"/>
      <c r="F15" s="31"/>
      <c r="G15" s="31"/>
      <c r="H15" s="31"/>
      <c r="I15" s="31"/>
      <c r="J15" s="31"/>
      <c r="K15" s="31"/>
      <c r="M15" s="12"/>
      <c r="N15" s="12"/>
      <c r="O15" s="12"/>
    </row>
    <row r="16" spans="1:21" ht="82.5" customHeight="1" x14ac:dyDescent="0.35">
      <c r="A16" s="35" t="s">
        <v>33</v>
      </c>
      <c r="B16" s="31"/>
      <c r="C16" s="31"/>
      <c r="D16" s="31"/>
      <c r="E16" s="31"/>
      <c r="F16" s="31"/>
      <c r="G16" s="31"/>
      <c r="H16" s="31"/>
      <c r="I16" s="31"/>
      <c r="J16" s="31"/>
      <c r="K16">
        <v>1</v>
      </c>
      <c r="L16" s="18" t="s">
        <v>109</v>
      </c>
      <c r="M16" s="29"/>
      <c r="N16" s="10"/>
      <c r="O16" s="10"/>
      <c r="Q16" s="34"/>
      <c r="R16" s="31"/>
      <c r="S16" s="31"/>
      <c r="T16" s="31"/>
      <c r="U16" s="31"/>
    </row>
    <row r="17" spans="1:21" ht="75" customHeight="1" x14ac:dyDescent="0.35">
      <c r="A17" s="35" t="s">
        <v>35</v>
      </c>
      <c r="B17" s="31"/>
      <c r="C17" s="31"/>
      <c r="D17" s="31"/>
      <c r="E17" s="31"/>
      <c r="F17" s="31"/>
      <c r="G17" s="31"/>
      <c r="H17" s="31"/>
      <c r="I17" s="31"/>
      <c r="J17" s="31"/>
      <c r="K17">
        <v>0</v>
      </c>
      <c r="L17" s="18" t="s">
        <v>110</v>
      </c>
      <c r="Q17" s="36" t="s">
        <v>111</v>
      </c>
      <c r="R17" s="31"/>
      <c r="S17" s="31"/>
      <c r="T17" s="31"/>
      <c r="U17" s="31"/>
    </row>
    <row r="18" spans="1:21" ht="98.5" customHeight="1" x14ac:dyDescent="0.35">
      <c r="A18" s="35" t="s">
        <v>38</v>
      </c>
      <c r="B18" s="31"/>
      <c r="C18" s="31"/>
      <c r="D18" s="31"/>
      <c r="E18" s="31"/>
      <c r="F18" s="31"/>
      <c r="G18" s="31"/>
      <c r="H18" s="31"/>
      <c r="I18" s="31"/>
      <c r="J18" s="31"/>
      <c r="K18">
        <v>0</v>
      </c>
      <c r="L18" s="18" t="s">
        <v>112</v>
      </c>
      <c r="Q18" s="36" t="s">
        <v>113</v>
      </c>
      <c r="R18" s="31"/>
      <c r="S18" s="31"/>
      <c r="T18" s="31"/>
      <c r="U18" s="31"/>
    </row>
    <row r="19" spans="1:21" ht="60.75" customHeight="1" x14ac:dyDescent="0.35">
      <c r="A19" s="35" t="s">
        <v>39</v>
      </c>
      <c r="B19" s="31"/>
      <c r="C19" s="31"/>
      <c r="D19" s="31"/>
      <c r="E19" s="31"/>
      <c r="F19" s="31"/>
      <c r="G19" s="31"/>
      <c r="H19" s="31"/>
      <c r="I19" s="31"/>
      <c r="J19" s="31"/>
      <c r="K19">
        <v>1</v>
      </c>
      <c r="L19" s="18" t="s">
        <v>114</v>
      </c>
      <c r="Q19" s="34"/>
      <c r="R19" s="31"/>
      <c r="S19" s="31"/>
      <c r="T19" s="31"/>
      <c r="U19" s="31"/>
    </row>
    <row r="20" spans="1:21" x14ac:dyDescent="0.35">
      <c r="A20" s="41" t="s">
        <v>42</v>
      </c>
      <c r="B20" s="31"/>
      <c r="C20" s="31"/>
      <c r="D20" s="31"/>
      <c r="E20" s="31"/>
      <c r="F20" s="31"/>
      <c r="G20" s="31"/>
      <c r="H20" s="31"/>
      <c r="I20" s="31"/>
      <c r="J20" s="31"/>
      <c r="K20" s="1"/>
      <c r="M20" s="3" t="s">
        <v>43</v>
      </c>
      <c r="N20" s="3">
        <f>SUM($K$23:$K$26)</f>
        <v>3</v>
      </c>
      <c r="O20" s="4">
        <v>4</v>
      </c>
    </row>
    <row r="21" spans="1:21" x14ac:dyDescent="0.35">
      <c r="A21" s="44" t="s">
        <v>32</v>
      </c>
      <c r="B21" s="31"/>
      <c r="C21" s="31"/>
      <c r="D21" s="31"/>
      <c r="E21" s="31"/>
      <c r="F21" s="31"/>
      <c r="G21" s="31"/>
      <c r="H21" s="31"/>
      <c r="I21" s="31"/>
      <c r="J21" s="31"/>
      <c r="K21" s="31"/>
      <c r="M21" s="3"/>
      <c r="N21" s="3"/>
      <c r="O21" s="3"/>
    </row>
    <row r="22" spans="1:21" ht="409" customHeight="1" x14ac:dyDescent="0.35">
      <c r="A22" s="35" t="s">
        <v>44</v>
      </c>
      <c r="B22" s="31"/>
      <c r="C22" s="31"/>
      <c r="D22" s="31"/>
      <c r="E22" s="31"/>
      <c r="F22" s="31"/>
      <c r="G22" s="31"/>
      <c r="H22" s="31"/>
      <c r="I22" s="31"/>
      <c r="J22" s="31"/>
      <c r="K22">
        <v>0</v>
      </c>
      <c r="L22" s="18" t="s">
        <v>115</v>
      </c>
      <c r="M22" s="10"/>
      <c r="N22" s="10"/>
      <c r="O22" s="10"/>
      <c r="Q22" s="36" t="s">
        <v>116</v>
      </c>
      <c r="R22" s="31"/>
      <c r="S22" s="31"/>
      <c r="T22" s="31"/>
      <c r="U22" s="31"/>
    </row>
    <row r="23" spans="1:21" ht="56.5" customHeight="1" x14ac:dyDescent="0.35">
      <c r="A23" s="35" t="s">
        <v>47</v>
      </c>
      <c r="B23" s="31"/>
      <c r="C23" s="31"/>
      <c r="D23" s="31"/>
      <c r="E23" s="31"/>
      <c r="F23" s="31"/>
      <c r="G23" s="31"/>
      <c r="H23" s="31"/>
      <c r="I23" s="31"/>
      <c r="J23" s="31"/>
      <c r="K23">
        <v>1</v>
      </c>
      <c r="L23" s="18" t="s">
        <v>117</v>
      </c>
      <c r="Q23" s="34"/>
      <c r="R23" s="31"/>
      <c r="S23" s="31"/>
      <c r="T23" s="31"/>
      <c r="U23" s="31"/>
    </row>
    <row r="24" spans="1:21" ht="55.5" customHeight="1" x14ac:dyDescent="0.35">
      <c r="A24" s="35" t="s">
        <v>49</v>
      </c>
      <c r="B24" s="31"/>
      <c r="C24" s="31"/>
      <c r="D24" s="31"/>
      <c r="E24" s="31"/>
      <c r="F24" s="31"/>
      <c r="G24" s="31"/>
      <c r="H24" s="31"/>
      <c r="I24" s="31"/>
      <c r="J24" s="31"/>
      <c r="K24">
        <v>0</v>
      </c>
      <c r="L24" s="18" t="s">
        <v>98</v>
      </c>
      <c r="Q24" s="34" t="s">
        <v>118</v>
      </c>
      <c r="R24" s="31"/>
      <c r="S24" s="31"/>
      <c r="T24" s="31"/>
      <c r="U24" s="31"/>
    </row>
    <row r="25" spans="1:21" ht="69.75" customHeight="1" x14ac:dyDescent="0.35">
      <c r="A25" s="37" t="s">
        <v>51</v>
      </c>
      <c r="B25" s="31"/>
      <c r="C25" s="31"/>
      <c r="D25" s="31"/>
      <c r="E25" s="31"/>
      <c r="F25" s="31"/>
      <c r="G25" s="31"/>
      <c r="H25" s="31"/>
      <c r="I25" s="31"/>
      <c r="J25" s="31"/>
      <c r="K25" s="21">
        <v>1</v>
      </c>
      <c r="L25" s="22" t="s">
        <v>52</v>
      </c>
      <c r="Q25" s="34"/>
      <c r="R25" s="31"/>
      <c r="S25" s="31"/>
      <c r="T25" s="31"/>
      <c r="U25" s="31"/>
    </row>
    <row r="26" spans="1:21" ht="74.25" customHeight="1" x14ac:dyDescent="0.35">
      <c r="A26" s="37" t="s">
        <v>53</v>
      </c>
      <c r="B26" s="31"/>
      <c r="C26" s="31"/>
      <c r="D26" s="31"/>
      <c r="E26" s="31"/>
      <c r="F26" s="31"/>
      <c r="G26" s="31"/>
      <c r="H26" s="31"/>
      <c r="I26" s="31"/>
      <c r="J26" s="31"/>
      <c r="K26" s="21">
        <v>1</v>
      </c>
      <c r="L26" s="22" t="s">
        <v>54</v>
      </c>
      <c r="Q26" s="34"/>
      <c r="R26" s="31"/>
      <c r="S26" s="31"/>
      <c r="T26" s="31"/>
      <c r="U26" s="31"/>
    </row>
    <row r="27" spans="1:21" x14ac:dyDescent="0.35">
      <c r="A27" s="41" t="s">
        <v>55</v>
      </c>
      <c r="B27" s="31"/>
      <c r="C27" s="31"/>
      <c r="D27" s="31"/>
      <c r="E27" s="31"/>
      <c r="F27" s="31"/>
      <c r="G27" s="31"/>
      <c r="H27" s="31"/>
      <c r="I27" s="31"/>
      <c r="J27" s="31"/>
      <c r="K27" s="1"/>
      <c r="M27" s="3" t="s">
        <v>56</v>
      </c>
      <c r="N27" s="3">
        <f>SUM($K$29:$K32)</f>
        <v>4</v>
      </c>
      <c r="O27" s="4">
        <v>4</v>
      </c>
    </row>
    <row r="28" spans="1:21" x14ac:dyDescent="0.35">
      <c r="A28" s="44" t="s">
        <v>32</v>
      </c>
      <c r="B28" s="31"/>
      <c r="C28" s="31"/>
      <c r="D28" s="31"/>
      <c r="E28" s="31"/>
      <c r="F28" s="31"/>
      <c r="G28" s="31"/>
      <c r="H28" s="31"/>
      <c r="I28" s="31"/>
      <c r="J28" s="31"/>
      <c r="K28" s="31"/>
      <c r="M28" s="3"/>
      <c r="N28" s="3"/>
      <c r="O28" s="3"/>
    </row>
    <row r="29" spans="1:21" ht="87.65" customHeight="1" x14ac:dyDescent="0.35">
      <c r="A29" s="35" t="s">
        <v>57</v>
      </c>
      <c r="B29" s="31"/>
      <c r="C29" s="31"/>
      <c r="D29" s="31"/>
      <c r="E29" s="31"/>
      <c r="F29" s="31"/>
      <c r="G29" s="31"/>
      <c r="H29" s="31"/>
      <c r="I29" s="31"/>
      <c r="J29" s="31"/>
      <c r="K29">
        <v>1</v>
      </c>
      <c r="L29" s="18" t="s">
        <v>119</v>
      </c>
      <c r="Q29" s="34" t="s">
        <v>120</v>
      </c>
      <c r="R29" s="31"/>
      <c r="S29" s="31"/>
      <c r="T29" s="31"/>
      <c r="U29" s="31"/>
    </row>
    <row r="30" spans="1:21" ht="85.75" customHeight="1" x14ac:dyDescent="0.35">
      <c r="A30" s="39" t="s">
        <v>59</v>
      </c>
      <c r="B30" s="31"/>
      <c r="C30" s="31"/>
      <c r="D30" s="31"/>
      <c r="E30" s="31"/>
      <c r="F30" s="31"/>
      <c r="G30" s="31"/>
      <c r="H30" s="31"/>
      <c r="I30" s="31"/>
      <c r="J30" s="31"/>
      <c r="K30">
        <v>1</v>
      </c>
      <c r="L30" s="18" t="s">
        <v>119</v>
      </c>
      <c r="Q30" s="34"/>
      <c r="R30" s="31"/>
      <c r="S30" s="31"/>
      <c r="T30" s="31"/>
      <c r="U30" s="31"/>
    </row>
    <row r="31" spans="1:21" ht="99" customHeight="1" x14ac:dyDescent="0.35">
      <c r="A31" s="45" t="s">
        <v>60</v>
      </c>
      <c r="B31" s="31"/>
      <c r="C31" s="31"/>
      <c r="D31" s="31"/>
      <c r="E31" s="31"/>
      <c r="F31" s="31"/>
      <c r="G31" s="31"/>
      <c r="H31" s="31"/>
      <c r="I31" s="31"/>
      <c r="J31" s="31"/>
      <c r="K31" s="21">
        <v>1</v>
      </c>
      <c r="L31" s="22" t="s">
        <v>61</v>
      </c>
      <c r="Q31" s="34"/>
      <c r="R31" s="31"/>
      <c r="S31" s="31"/>
      <c r="T31" s="31"/>
      <c r="U31" s="31"/>
    </row>
    <row r="32" spans="1:21" ht="71.5" customHeight="1" x14ac:dyDescent="0.35">
      <c r="A32" s="48" t="s">
        <v>62</v>
      </c>
      <c r="B32" s="31"/>
      <c r="C32" s="31"/>
      <c r="D32" s="31"/>
      <c r="E32" s="31"/>
      <c r="F32" s="31"/>
      <c r="G32" s="31"/>
      <c r="H32" s="31"/>
      <c r="I32" s="31"/>
      <c r="J32" s="31"/>
      <c r="K32" s="21">
        <v>1</v>
      </c>
      <c r="L32" s="22" t="s">
        <v>63</v>
      </c>
    </row>
    <row r="33" spans="1:22" x14ac:dyDescent="0.35">
      <c r="A33" s="41" t="s">
        <v>64</v>
      </c>
      <c r="B33" s="31"/>
      <c r="C33" s="31"/>
      <c r="D33" s="31"/>
      <c r="E33" s="31"/>
      <c r="F33" s="31"/>
      <c r="G33" s="31"/>
      <c r="H33" s="31"/>
      <c r="I33" s="31"/>
      <c r="J33" s="31"/>
      <c r="K33" s="1"/>
      <c r="M33" s="3" t="s">
        <v>65</v>
      </c>
      <c r="N33" s="3">
        <f>SUM($K$35:$K39)</f>
        <v>4</v>
      </c>
      <c r="O33" s="4">
        <v>4</v>
      </c>
    </row>
    <row r="34" spans="1:22" x14ac:dyDescent="0.35">
      <c r="A34" s="44" t="s">
        <v>32</v>
      </c>
      <c r="B34" s="31"/>
      <c r="C34" s="31"/>
      <c r="D34" s="31"/>
      <c r="E34" s="31"/>
      <c r="F34" s="31"/>
      <c r="G34" s="31"/>
      <c r="H34" s="31"/>
      <c r="I34" s="31"/>
      <c r="J34" s="31"/>
      <c r="K34" s="31"/>
      <c r="M34" s="3"/>
      <c r="N34" s="3"/>
      <c r="O34" s="3"/>
    </row>
    <row r="35" spans="1:22" ht="49.4" customHeight="1" x14ac:dyDescent="0.35">
      <c r="A35" s="35" t="s">
        <v>66</v>
      </c>
      <c r="B35" s="31"/>
      <c r="C35" s="31"/>
      <c r="D35" s="31"/>
      <c r="E35" s="31"/>
      <c r="F35" s="31"/>
      <c r="G35" s="31"/>
      <c r="H35" s="31"/>
      <c r="I35" s="31"/>
      <c r="J35" s="31"/>
      <c r="K35">
        <v>1</v>
      </c>
      <c r="L35" s="18" t="s">
        <v>121</v>
      </c>
      <c r="Q35" s="34" t="s">
        <v>122</v>
      </c>
      <c r="R35" s="31"/>
      <c r="S35" s="31"/>
      <c r="T35" s="31"/>
      <c r="U35" s="31"/>
    </row>
    <row r="36" spans="1:22" ht="54" customHeight="1" x14ac:dyDescent="0.35">
      <c r="A36" s="35" t="s">
        <v>68</v>
      </c>
      <c r="B36" s="31"/>
      <c r="C36" s="31"/>
      <c r="D36" s="31"/>
      <c r="E36" s="31"/>
      <c r="F36" s="31"/>
      <c r="G36" s="31"/>
      <c r="H36" s="31"/>
      <c r="I36" s="31"/>
      <c r="J36" s="31"/>
      <c r="K36">
        <v>1</v>
      </c>
      <c r="L36" s="18" t="s">
        <v>123</v>
      </c>
      <c r="M36" s="9"/>
      <c r="N36" s="9"/>
      <c r="O36" s="9"/>
      <c r="P36" s="9"/>
      <c r="Q36" s="34"/>
      <c r="R36" s="31"/>
      <c r="S36" s="31"/>
      <c r="T36" s="31"/>
      <c r="U36" s="31"/>
      <c r="V36" s="9"/>
    </row>
    <row r="37" spans="1:22" ht="28.4" customHeight="1" x14ac:dyDescent="0.35">
      <c r="A37" s="35" t="s">
        <v>70</v>
      </c>
      <c r="B37" s="31"/>
      <c r="C37" s="31"/>
      <c r="D37" s="31"/>
      <c r="E37" s="31"/>
      <c r="F37" s="31"/>
      <c r="G37" s="31"/>
      <c r="H37" s="31"/>
      <c r="I37" s="31"/>
      <c r="J37" s="31"/>
      <c r="K37">
        <v>1</v>
      </c>
      <c r="L37" s="19"/>
      <c r="M37" s="9"/>
      <c r="N37" s="9"/>
      <c r="O37" s="9"/>
      <c r="P37" s="9"/>
      <c r="Q37" s="34"/>
      <c r="R37" s="31"/>
      <c r="S37" s="31"/>
      <c r="T37" s="31"/>
      <c r="U37" s="31"/>
      <c r="V37" s="9"/>
    </row>
    <row r="38" spans="1:22" ht="28.4" customHeight="1" x14ac:dyDescent="0.35">
      <c r="A38" s="35" t="s">
        <v>71</v>
      </c>
      <c r="B38" s="31"/>
      <c r="C38" s="31"/>
      <c r="D38" s="31"/>
      <c r="E38" s="31"/>
      <c r="F38" s="31"/>
      <c r="G38" s="31"/>
      <c r="H38" s="31"/>
      <c r="I38" s="31"/>
      <c r="J38" s="31"/>
      <c r="K38">
        <v>1</v>
      </c>
      <c r="L38" s="19"/>
      <c r="M38" s="9"/>
      <c r="N38" s="9"/>
      <c r="O38" s="9"/>
      <c r="P38" s="9"/>
      <c r="Q38" s="34"/>
      <c r="R38" s="31"/>
      <c r="S38" s="31"/>
      <c r="T38" s="31"/>
      <c r="U38" s="31"/>
      <c r="V38" s="9"/>
    </row>
    <row r="39" spans="1:22" x14ac:dyDescent="0.35">
      <c r="A39" s="41" t="s">
        <v>72</v>
      </c>
      <c r="B39" s="31"/>
      <c r="C39" s="31"/>
      <c r="D39" s="31"/>
      <c r="E39" s="31"/>
      <c r="F39" s="31"/>
      <c r="G39" s="31"/>
      <c r="H39" s="31"/>
      <c r="I39" s="31"/>
      <c r="J39" s="31"/>
      <c r="K39" s="1"/>
      <c r="M39" s="3" t="s">
        <v>73</v>
      </c>
      <c r="N39" s="3">
        <f>SUM($K$41:$K44)</f>
        <v>4</v>
      </c>
      <c r="O39" s="4">
        <v>4</v>
      </c>
    </row>
    <row r="40" spans="1:22" x14ac:dyDescent="0.35">
      <c r="A40" s="44" t="s">
        <v>32</v>
      </c>
      <c r="B40" s="31"/>
      <c r="C40" s="31"/>
      <c r="D40" s="31"/>
      <c r="E40" s="31"/>
      <c r="F40" s="31"/>
      <c r="G40" s="31"/>
      <c r="H40" s="31"/>
      <c r="I40" s="31"/>
      <c r="J40" s="31"/>
      <c r="K40" s="31"/>
      <c r="M40" s="3"/>
      <c r="N40" s="3"/>
      <c r="O40" s="3"/>
    </row>
    <row r="41" spans="1:22" ht="69.650000000000006" customHeight="1" x14ac:dyDescent="0.35">
      <c r="A41" s="35" t="s">
        <v>74</v>
      </c>
      <c r="B41" s="31"/>
      <c r="C41" s="31"/>
      <c r="D41" s="31"/>
      <c r="E41" s="31"/>
      <c r="F41" s="31"/>
      <c r="G41" s="31"/>
      <c r="H41" s="31"/>
      <c r="I41" s="31"/>
      <c r="J41" s="31"/>
      <c r="K41">
        <v>1</v>
      </c>
      <c r="L41" s="18" t="s">
        <v>124</v>
      </c>
      <c r="Q41" s="34" t="s">
        <v>125</v>
      </c>
      <c r="R41" s="31"/>
      <c r="S41" s="31"/>
      <c r="T41" s="31"/>
      <c r="U41" s="31"/>
    </row>
    <row r="42" spans="1:22" ht="36" customHeight="1" x14ac:dyDescent="0.35">
      <c r="A42" s="35" t="s">
        <v>77</v>
      </c>
      <c r="B42" s="31"/>
      <c r="C42" s="31"/>
      <c r="D42" s="31"/>
      <c r="E42" s="31"/>
      <c r="F42" s="31"/>
      <c r="G42" s="31"/>
      <c r="H42" s="31"/>
      <c r="I42" s="31"/>
      <c r="J42" s="31"/>
      <c r="K42">
        <v>1</v>
      </c>
      <c r="L42" s="18" t="s">
        <v>126</v>
      </c>
      <c r="Q42" s="34"/>
      <c r="R42" s="31"/>
      <c r="S42" s="31"/>
      <c r="T42" s="31"/>
      <c r="U42" s="31"/>
    </row>
    <row r="43" spans="1:22" ht="36" customHeight="1" x14ac:dyDescent="0.35">
      <c r="A43" s="35" t="s">
        <v>79</v>
      </c>
      <c r="B43" s="31"/>
      <c r="C43" s="31"/>
      <c r="D43" s="31"/>
      <c r="E43" s="31"/>
      <c r="F43" s="31"/>
      <c r="G43" s="31"/>
      <c r="H43" s="31"/>
      <c r="I43" s="31"/>
      <c r="J43" s="31"/>
      <c r="K43">
        <v>1</v>
      </c>
      <c r="L43" s="18" t="s">
        <v>127</v>
      </c>
      <c r="Q43" s="34"/>
      <c r="R43" s="31"/>
      <c r="S43" s="31"/>
      <c r="T43" s="31"/>
      <c r="U43" s="31"/>
    </row>
    <row r="44" spans="1:22" ht="33" customHeight="1" x14ac:dyDescent="0.35">
      <c r="A44" s="37" t="s">
        <v>81</v>
      </c>
      <c r="B44" s="31"/>
      <c r="C44" s="31"/>
      <c r="D44" s="31"/>
      <c r="E44" s="31"/>
      <c r="F44" s="31"/>
      <c r="G44" s="31"/>
      <c r="H44" s="31"/>
      <c r="I44" s="31"/>
      <c r="J44" s="31"/>
      <c r="K44" s="21">
        <v>1</v>
      </c>
      <c r="L44" s="22" t="s">
        <v>82</v>
      </c>
      <c r="Q44" s="34"/>
      <c r="R44" s="31"/>
      <c r="S44" s="31"/>
      <c r="T44" s="31"/>
      <c r="U44" s="31"/>
    </row>
    <row r="45" spans="1:22" x14ac:dyDescent="0.35">
      <c r="A45" s="32" t="s">
        <v>83</v>
      </c>
      <c r="B45" s="31"/>
      <c r="C45" s="31"/>
      <c r="D45" s="31"/>
      <c r="E45" s="31"/>
      <c r="F45" s="31"/>
      <c r="G45" s="31"/>
      <c r="H45" s="31"/>
      <c r="I45" s="31"/>
      <c r="J45" s="31"/>
      <c r="K45" s="2"/>
      <c r="M45" s="3" t="s">
        <v>84</v>
      </c>
      <c r="N45" s="3">
        <f>IF(SUM($N$3:$R$3)&gt;3,SUM($K$47:$K56),0)</f>
        <v>0</v>
      </c>
      <c r="O45" s="4">
        <v>10</v>
      </c>
    </row>
    <row r="46" spans="1:22" x14ac:dyDescent="0.35">
      <c r="A46" s="50" t="s">
        <v>85</v>
      </c>
      <c r="B46" s="31"/>
      <c r="C46" s="31"/>
      <c r="D46" s="31"/>
      <c r="E46" s="31"/>
      <c r="F46" s="31"/>
      <c r="G46" s="31"/>
      <c r="H46" s="31"/>
      <c r="I46" s="31"/>
      <c r="J46" s="31"/>
      <c r="K46" s="31"/>
      <c r="M46" s="3"/>
      <c r="N46" s="3"/>
      <c r="O46" s="3"/>
    </row>
    <row r="47" spans="1:22" x14ac:dyDescent="0.35">
      <c r="A47" s="33" t="s">
        <v>86</v>
      </c>
      <c r="B47" s="31"/>
      <c r="C47" s="31"/>
      <c r="D47" s="31"/>
      <c r="E47" s="31"/>
      <c r="F47" s="31"/>
      <c r="G47" s="31"/>
      <c r="H47" s="31"/>
      <c r="I47" s="31"/>
      <c r="J47" s="31"/>
      <c r="K47">
        <v>1</v>
      </c>
      <c r="L47" s="19"/>
      <c r="Q47" s="34"/>
      <c r="R47" s="31"/>
      <c r="S47" s="31"/>
      <c r="T47" s="31"/>
      <c r="U47" s="31"/>
    </row>
    <row r="48" spans="1:22" x14ac:dyDescent="0.35">
      <c r="A48" s="33" t="s">
        <v>87</v>
      </c>
      <c r="B48" s="31"/>
      <c r="C48" s="31"/>
      <c r="D48" s="31"/>
      <c r="E48" s="31"/>
      <c r="F48" s="31"/>
      <c r="G48" s="31"/>
      <c r="H48" s="31"/>
      <c r="I48" s="31"/>
      <c r="J48" s="31"/>
      <c r="K48">
        <v>1</v>
      </c>
      <c r="L48" s="19"/>
      <c r="Q48" s="34"/>
      <c r="R48" s="31"/>
      <c r="S48" s="31"/>
      <c r="T48" s="31"/>
      <c r="U48" s="31"/>
    </row>
    <row r="49" spans="1:21" ht="72" customHeight="1" x14ac:dyDescent="0.35">
      <c r="A49" s="39" t="s">
        <v>88</v>
      </c>
      <c r="B49" s="31"/>
      <c r="C49" s="31"/>
      <c r="D49" s="31"/>
      <c r="E49" s="31"/>
      <c r="F49" s="31"/>
      <c r="G49" s="31"/>
      <c r="H49" s="31"/>
      <c r="I49" s="31"/>
      <c r="J49" s="31"/>
      <c r="K49">
        <v>1</v>
      </c>
      <c r="L49" s="18" t="s">
        <v>128</v>
      </c>
      <c r="Q49" s="34"/>
      <c r="R49" s="31"/>
      <c r="S49" s="31"/>
      <c r="T49" s="31"/>
      <c r="U49" s="31"/>
    </row>
    <row r="50" spans="1:21" ht="48" customHeight="1" x14ac:dyDescent="0.35">
      <c r="A50" s="39" t="s">
        <v>90</v>
      </c>
      <c r="B50" s="31"/>
      <c r="C50" s="31"/>
      <c r="D50" s="31"/>
      <c r="E50" s="31"/>
      <c r="F50" s="31"/>
      <c r="G50" s="31"/>
      <c r="H50" s="31"/>
      <c r="I50" s="31"/>
      <c r="J50" s="31"/>
      <c r="K50">
        <v>1</v>
      </c>
      <c r="L50" s="18" t="s">
        <v>98</v>
      </c>
      <c r="Q50" s="34"/>
      <c r="R50" s="31"/>
      <c r="S50" s="31"/>
      <c r="T50" s="31"/>
      <c r="U50" s="31"/>
    </row>
    <row r="51" spans="1:21" ht="43.75" customHeight="1" x14ac:dyDescent="0.35">
      <c r="A51" s="39" t="s">
        <v>92</v>
      </c>
      <c r="B51" s="31"/>
      <c r="C51" s="31"/>
      <c r="D51" s="31"/>
      <c r="E51" s="31"/>
      <c r="F51" s="31"/>
      <c r="G51" s="31"/>
      <c r="H51" s="31"/>
      <c r="I51" s="31"/>
      <c r="J51" s="31"/>
      <c r="K51">
        <v>1</v>
      </c>
      <c r="L51" s="18" t="s">
        <v>129</v>
      </c>
      <c r="Q51" s="34"/>
      <c r="R51" s="31"/>
      <c r="S51" s="31"/>
      <c r="T51" s="31"/>
      <c r="U51" s="31"/>
    </row>
    <row r="52" spans="1:21" ht="24" customHeight="1" x14ac:dyDescent="0.35">
      <c r="A52" s="45" t="s">
        <v>93</v>
      </c>
      <c r="B52" s="31"/>
      <c r="C52" s="31"/>
      <c r="D52" s="31"/>
      <c r="E52" s="31"/>
      <c r="F52" s="31"/>
      <c r="G52" s="31"/>
      <c r="H52" s="31"/>
      <c r="I52" s="31"/>
      <c r="J52" s="31"/>
      <c r="K52" s="21">
        <v>1</v>
      </c>
      <c r="L52" s="22" t="s">
        <v>94</v>
      </c>
      <c r="Q52" s="34"/>
      <c r="R52" s="31"/>
      <c r="S52" s="31"/>
      <c r="T52" s="31"/>
      <c r="U52" s="31"/>
    </row>
    <row r="53" spans="1:21" ht="28.75" customHeight="1" x14ac:dyDescent="0.35">
      <c r="A53" s="39" t="s">
        <v>95</v>
      </c>
      <c r="B53" s="31"/>
      <c r="C53" s="31"/>
      <c r="D53" s="31"/>
      <c r="E53" s="31"/>
      <c r="F53" s="31"/>
      <c r="G53" s="31"/>
      <c r="H53" s="31"/>
      <c r="I53" s="31"/>
      <c r="J53" s="31"/>
      <c r="K53">
        <v>1</v>
      </c>
      <c r="L53" s="18" t="s">
        <v>130</v>
      </c>
      <c r="Q53" s="34"/>
      <c r="R53" s="31"/>
      <c r="S53" s="31"/>
      <c r="T53" s="31"/>
      <c r="U53" s="31"/>
    </row>
    <row r="54" spans="1:21" ht="93" customHeight="1" x14ac:dyDescent="0.35">
      <c r="A54" s="39" t="s">
        <v>97</v>
      </c>
      <c r="B54" s="31"/>
      <c r="C54" s="31"/>
      <c r="D54" s="31"/>
      <c r="E54" s="31"/>
      <c r="F54" s="31"/>
      <c r="G54" s="31"/>
      <c r="H54" s="31"/>
      <c r="I54" s="31"/>
      <c r="J54" s="31"/>
      <c r="K54">
        <v>1</v>
      </c>
      <c r="L54" s="18" t="s">
        <v>98</v>
      </c>
      <c r="Q54" s="34"/>
      <c r="R54" s="31"/>
      <c r="S54" s="31"/>
      <c r="T54" s="31"/>
      <c r="U54" s="31"/>
    </row>
    <row r="55" spans="1:21" ht="28.4" customHeight="1" x14ac:dyDescent="0.35">
      <c r="A55" s="39" t="s">
        <v>99</v>
      </c>
      <c r="B55" s="31"/>
      <c r="C55" s="31"/>
      <c r="D55" s="31"/>
      <c r="E55" s="31"/>
      <c r="F55" s="31"/>
      <c r="G55" s="31"/>
      <c r="H55" s="31"/>
      <c r="I55" s="31"/>
      <c r="J55" s="31"/>
      <c r="K55">
        <v>1</v>
      </c>
      <c r="L55" s="18" t="s">
        <v>131</v>
      </c>
      <c r="Q55" s="34"/>
      <c r="R55" s="31"/>
      <c r="S55" s="31"/>
      <c r="T55" s="31"/>
      <c r="U55" s="31"/>
    </row>
    <row r="56" spans="1:21" ht="36" customHeight="1" x14ac:dyDescent="0.35">
      <c r="A56" s="45" t="s">
        <v>100</v>
      </c>
      <c r="B56" s="31"/>
      <c r="C56" s="31"/>
      <c r="D56" s="31"/>
      <c r="E56" s="31"/>
      <c r="F56" s="31"/>
      <c r="G56" s="31"/>
      <c r="H56" s="31"/>
      <c r="I56" s="31"/>
      <c r="J56" s="31"/>
      <c r="K56" s="21">
        <v>1</v>
      </c>
      <c r="L56" s="22" t="s">
        <v>101</v>
      </c>
      <c r="Q56" s="34"/>
      <c r="R56" s="31"/>
      <c r="S56" s="31"/>
      <c r="T56" s="31"/>
      <c r="U56" s="31"/>
    </row>
    <row r="58" spans="1:21" x14ac:dyDescent="0.35">
      <c r="H58" s="33" t="s">
        <v>102</v>
      </c>
      <c r="I58" s="31"/>
      <c r="J58" s="31"/>
      <c r="K58" t="str">
        <f>IF($N$5&lt;$O$5,"Non-Recevable",IF(SUM($N$3:$R$3)&lt;3,"Très insuffisant",IF(SUM($N$3:$R$3)&lt;5,"Insuffisant",IF(SUM($K$47:$K$56)&lt;5,"Bien","Très Bien"))))</f>
        <v>Insuffisant</v>
      </c>
      <c r="M58" s="33"/>
      <c r="N58" s="31"/>
      <c r="O58" s="31"/>
      <c r="P58" s="31"/>
      <c r="Q58" s="49"/>
      <c r="R58" s="31"/>
      <c r="S58" s="31"/>
      <c r="T58" s="31"/>
      <c r="U58" s="31"/>
    </row>
    <row r="59" spans="1:21" x14ac:dyDescent="0.35">
      <c r="H59" t="s">
        <v>103</v>
      </c>
    </row>
    <row r="60" spans="1:21" x14ac:dyDescent="0.35">
      <c r="H60" s="43"/>
      <c r="I60" s="31"/>
      <c r="J60" s="31"/>
      <c r="K60" s="31"/>
      <c r="L60" s="31"/>
      <c r="M60" s="31"/>
    </row>
    <row r="61" spans="1:21" x14ac:dyDescent="0.35">
      <c r="H61" s="31"/>
      <c r="I61" s="31"/>
      <c r="J61" s="31"/>
      <c r="K61" s="31"/>
      <c r="L61" s="31"/>
      <c r="M61" s="31"/>
    </row>
    <row r="62" spans="1:21" x14ac:dyDescent="0.35">
      <c r="H62" s="31"/>
      <c r="I62" s="31"/>
      <c r="J62" s="31"/>
      <c r="K62" s="31"/>
      <c r="L62" s="31"/>
      <c r="M62" s="31"/>
    </row>
    <row r="63" spans="1:21" x14ac:dyDescent="0.35">
      <c r="H63" s="31"/>
      <c r="I63" s="31"/>
      <c r="J63" s="31"/>
      <c r="K63" s="31"/>
      <c r="L63" s="31"/>
      <c r="M63" s="31"/>
    </row>
    <row r="64" spans="1:21" x14ac:dyDescent="0.35">
      <c r="H64" s="31"/>
      <c r="I64" s="31"/>
      <c r="J64" s="31"/>
      <c r="K64" s="31"/>
      <c r="L64" s="31"/>
      <c r="M64" s="31"/>
    </row>
    <row r="65" spans="8:13" x14ac:dyDescent="0.35">
      <c r="H65" s="31"/>
      <c r="I65" s="31"/>
      <c r="J65" s="31"/>
      <c r="K65" s="31"/>
      <c r="L65" s="31"/>
      <c r="M65" s="31"/>
    </row>
    <row r="66" spans="8:13" x14ac:dyDescent="0.35">
      <c r="H66" s="31"/>
      <c r="I66" s="31"/>
      <c r="J66" s="31"/>
      <c r="K66" s="31"/>
      <c r="L66" s="31"/>
      <c r="M66" s="31"/>
    </row>
    <row r="67" spans="8:13" x14ac:dyDescent="0.35">
      <c r="H67" s="31"/>
      <c r="I67" s="31"/>
      <c r="J67" s="31"/>
      <c r="K67" s="31"/>
      <c r="L67" s="31"/>
      <c r="M67" s="31"/>
    </row>
    <row r="68" spans="8:13" x14ac:dyDescent="0.35">
      <c r="H68" s="31"/>
      <c r="I68" s="31"/>
      <c r="J68" s="31"/>
      <c r="K68" s="31"/>
      <c r="L68" s="31"/>
      <c r="M68" s="31"/>
    </row>
  </sheetData>
  <mergeCells count="96">
    <mergeCell ref="Q24:U24"/>
    <mergeCell ref="Q18:U18"/>
    <mergeCell ref="A51:J51"/>
    <mergeCell ref="A52:J52"/>
    <mergeCell ref="Q52:U52"/>
    <mergeCell ref="Q29:U29"/>
    <mergeCell ref="Q41:U41"/>
    <mergeCell ref="Q51:U51"/>
    <mergeCell ref="Q35:U35"/>
    <mergeCell ref="A45:J45"/>
    <mergeCell ref="Q43:U43"/>
    <mergeCell ref="Q42:U42"/>
    <mergeCell ref="Q23:U23"/>
    <mergeCell ref="Q38:U38"/>
    <mergeCell ref="A49:J49"/>
    <mergeCell ref="Q31:U31"/>
    <mergeCell ref="Q25:U25"/>
    <mergeCell ref="A44:J44"/>
    <mergeCell ref="Q58:U58"/>
    <mergeCell ref="A46:K46"/>
    <mergeCell ref="Q44:U44"/>
    <mergeCell ref="Q48:U48"/>
    <mergeCell ref="A50:J50"/>
    <mergeCell ref="A47:J47"/>
    <mergeCell ref="M58:P58"/>
    <mergeCell ref="Q53:U53"/>
    <mergeCell ref="Q56:U56"/>
    <mergeCell ref="A55:J55"/>
    <mergeCell ref="H58:J58"/>
    <mergeCell ref="A36:J36"/>
    <mergeCell ref="Q37:U37"/>
    <mergeCell ref="A43:J43"/>
    <mergeCell ref="A7:J7"/>
    <mergeCell ref="A16:J16"/>
    <mergeCell ref="A25:J25"/>
    <mergeCell ref="A18:J18"/>
    <mergeCell ref="A42:J42"/>
    <mergeCell ref="A15:K15"/>
    <mergeCell ref="A22:J22"/>
    <mergeCell ref="A20:J20"/>
    <mergeCell ref="A32:J32"/>
    <mergeCell ref="A29:J29"/>
    <mergeCell ref="A38:J38"/>
    <mergeCell ref="A31:J31"/>
    <mergeCell ref="A34:K34"/>
    <mergeCell ref="A12:J12"/>
    <mergeCell ref="A23:J23"/>
    <mergeCell ref="A28:K28"/>
    <mergeCell ref="Q19:U19"/>
    <mergeCell ref="Q50:U50"/>
    <mergeCell ref="A3:B3"/>
    <mergeCell ref="A8:J8"/>
    <mergeCell ref="Q12:U12"/>
    <mergeCell ref="A17:J17"/>
    <mergeCell ref="A10:J10"/>
    <mergeCell ref="A19:J19"/>
    <mergeCell ref="A6:K6"/>
    <mergeCell ref="A9:J9"/>
    <mergeCell ref="A39:J39"/>
    <mergeCell ref="A48:J48"/>
    <mergeCell ref="Q26:U26"/>
    <mergeCell ref="A11:J11"/>
    <mergeCell ref="Q7:U7"/>
    <mergeCell ref="Q47:U47"/>
    <mergeCell ref="H60:M68"/>
    <mergeCell ref="A21:K21"/>
    <mergeCell ref="Q49:U49"/>
    <mergeCell ref="Q22:U22"/>
    <mergeCell ref="A54:J54"/>
    <mergeCell ref="Q36:U36"/>
    <mergeCell ref="Q30:U30"/>
    <mergeCell ref="A41:J41"/>
    <mergeCell ref="A56:J56"/>
    <mergeCell ref="A27:J27"/>
    <mergeCell ref="A40:K40"/>
    <mergeCell ref="A33:J33"/>
    <mergeCell ref="A53:J53"/>
    <mergeCell ref="A35:J35"/>
    <mergeCell ref="Q54:U54"/>
    <mergeCell ref="Q55:U55"/>
    <mergeCell ref="A1:J1"/>
    <mergeCell ref="C3:E3"/>
    <mergeCell ref="Q9:U9"/>
    <mergeCell ref="A37:J37"/>
    <mergeCell ref="Q17:U17"/>
    <mergeCell ref="Q11:U11"/>
    <mergeCell ref="A26:J26"/>
    <mergeCell ref="M3:M4"/>
    <mergeCell ref="A30:J30"/>
    <mergeCell ref="Q10:U10"/>
    <mergeCell ref="Q16:U16"/>
    <mergeCell ref="Q8:U8"/>
    <mergeCell ref="A5:J5"/>
    <mergeCell ref="A14:J14"/>
    <mergeCell ref="Q5:U5"/>
    <mergeCell ref="A24:J24"/>
  </mergeCells>
  <conditionalFormatting sqref="K58">
    <cfRule type="containsText" dxfId="11" priority="1" operator="containsText" text="Très Bien">
      <formula>NOT(ISERROR(SEARCH("Très Bien",K58)))</formula>
    </cfRule>
    <cfRule type="containsText" dxfId="10" priority="2" operator="containsText" text="Bien">
      <formula>NOT(ISERROR(SEARCH("Bien",K58)))</formula>
    </cfRule>
    <cfRule type="containsText" dxfId="9" priority="3" operator="containsText" text="Très insuffisant">
      <formula>NOT(ISERROR(SEARCH("Très insuffisant",K58)))</formula>
    </cfRule>
    <cfRule type="containsText" dxfId="8" priority="4" operator="containsText" text="Insuffisant">
      <formula>NOT(ISERROR(SEARCH("Insuffisant",K58)))</formula>
    </cfRule>
  </conditionalFormatting>
  <pageMargins left="0.7" right="0.7" top="0.75" bottom="0.75" header="0.3" footer="0.3"/>
  <pageSetup paperSize="9" orientation="portrait" horizontalDpi="429496729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68"/>
  <sheetViews>
    <sheetView topLeftCell="G41" zoomScaleNormal="100" workbookViewId="0">
      <selection activeCell="K12" sqref="K12"/>
    </sheetView>
  </sheetViews>
  <sheetFormatPr baseColWidth="10" defaultColWidth="9.453125" defaultRowHeight="14.5" x14ac:dyDescent="0.35"/>
  <cols>
    <col min="10" max="10" width="10.453125" customWidth="1"/>
    <col min="11" max="11" width="9.453125" customWidth="1"/>
    <col min="12" max="12" width="41.453125" customWidth="1"/>
    <col min="13" max="13" width="18.54296875" customWidth="1"/>
    <col min="14" max="17" width="4.54296875" bestFit="1" customWidth="1"/>
    <col min="18" max="18" width="4.1796875" bestFit="1" customWidth="1"/>
  </cols>
  <sheetData>
    <row r="1" spans="1:22" ht="21" customHeight="1" x14ac:dyDescent="0.5">
      <c r="A1" s="30" t="s">
        <v>132</v>
      </c>
      <c r="B1" s="31"/>
      <c r="C1" s="31"/>
      <c r="D1" s="31"/>
      <c r="E1" s="31"/>
      <c r="F1" s="31"/>
      <c r="G1" s="31"/>
      <c r="H1" s="31"/>
      <c r="I1" s="31"/>
      <c r="J1" s="31"/>
    </row>
    <row r="2" spans="1:22" x14ac:dyDescent="0.35">
      <c r="M2" s="16" t="s">
        <v>1</v>
      </c>
      <c r="N2" s="16" t="s">
        <v>2</v>
      </c>
      <c r="O2" s="16" t="s">
        <v>3</v>
      </c>
      <c r="P2" s="16" t="s">
        <v>4</v>
      </c>
      <c r="Q2" s="16" t="s">
        <v>5</v>
      </c>
      <c r="R2" s="16" t="s">
        <v>6</v>
      </c>
    </row>
    <row r="3" spans="1:22" ht="14.5" customHeight="1" x14ac:dyDescent="0.35">
      <c r="A3" s="46" t="s">
        <v>7</v>
      </c>
      <c r="B3" s="31"/>
      <c r="C3" s="33" t="s">
        <v>133</v>
      </c>
      <c r="D3" s="31"/>
      <c r="E3" s="31"/>
      <c r="G3" s="28" t="s">
        <v>9</v>
      </c>
      <c r="K3" s="8" t="s">
        <v>134</v>
      </c>
      <c r="M3" s="38" t="s">
        <v>11</v>
      </c>
      <c r="N3" s="17">
        <f>IF($O$5=$N$5,TRUNC($N$14/$O$14),0)</f>
        <v>0</v>
      </c>
      <c r="O3" s="17">
        <f>IF($O$5=$N$5,TRUNC($N$20/$O$20),0)</f>
        <v>0</v>
      </c>
      <c r="P3" s="17">
        <f>IF($O$5=$N$5,TRUNC($N$27/$O$27),0)</f>
        <v>0</v>
      </c>
      <c r="Q3" s="17">
        <f>IF($O$5=$N$5,TRUNC($N$33/$O$33),0)</f>
        <v>0</v>
      </c>
      <c r="R3" s="17">
        <f>IF($O$5=$N$5,TRUNC($N$39/$O$39),0)</f>
        <v>0</v>
      </c>
    </row>
    <row r="4" spans="1:22" x14ac:dyDescent="0.35">
      <c r="A4" s="28" t="s">
        <v>12</v>
      </c>
      <c r="B4" s="28"/>
      <c r="C4" t="s">
        <v>135</v>
      </c>
      <c r="M4" s="31"/>
      <c r="N4" s="17"/>
      <c r="O4" s="17"/>
      <c r="P4" s="17"/>
      <c r="Q4" s="17"/>
      <c r="R4" s="17"/>
    </row>
    <row r="5" spans="1:22" ht="43.5" customHeight="1" x14ac:dyDescent="0.35">
      <c r="A5" s="40" t="s">
        <v>14</v>
      </c>
      <c r="B5" s="31"/>
      <c r="C5" s="31"/>
      <c r="D5" s="31"/>
      <c r="E5" s="31"/>
      <c r="F5" s="31"/>
      <c r="G5" s="31"/>
      <c r="H5" s="31"/>
      <c r="I5" s="31"/>
      <c r="J5" s="31"/>
      <c r="K5" s="5" t="s">
        <v>15</v>
      </c>
      <c r="L5" s="20" t="s">
        <v>16</v>
      </c>
      <c r="M5" s="6" t="s">
        <v>17</v>
      </c>
      <c r="N5" s="6">
        <f>SUM($K$7:$K$12)</f>
        <v>5</v>
      </c>
      <c r="O5" s="7">
        <v>6</v>
      </c>
      <c r="Q5" s="42" t="s">
        <v>18</v>
      </c>
      <c r="R5" s="31"/>
      <c r="S5" s="31"/>
      <c r="T5" s="31"/>
      <c r="U5" s="31"/>
    </row>
    <row r="6" spans="1:22" x14ac:dyDescent="0.35">
      <c r="A6" s="47" t="s">
        <v>19</v>
      </c>
      <c r="B6" s="31"/>
      <c r="C6" s="31"/>
      <c r="D6" s="31"/>
      <c r="E6" s="31"/>
      <c r="F6" s="31"/>
      <c r="G6" s="31"/>
      <c r="H6" s="31"/>
      <c r="I6" s="31"/>
      <c r="J6" s="31"/>
      <c r="K6" s="31"/>
    </row>
    <row r="7" spans="1:22" ht="36.75" customHeight="1" x14ac:dyDescent="0.35">
      <c r="A7" s="39" t="s">
        <v>20</v>
      </c>
      <c r="B7" s="31"/>
      <c r="C7" s="31"/>
      <c r="D7" s="31"/>
      <c r="E7" s="31"/>
      <c r="F7" s="31"/>
      <c r="G7" s="31"/>
      <c r="H7" s="31"/>
      <c r="I7" s="31"/>
      <c r="J7" s="31"/>
      <c r="K7">
        <v>1</v>
      </c>
      <c r="L7" s="19"/>
      <c r="Q7" s="34"/>
      <c r="R7" s="31"/>
      <c r="S7" s="31"/>
      <c r="T7" s="31"/>
      <c r="U7" s="31"/>
    </row>
    <row r="8" spans="1:22" ht="42.65" customHeight="1" x14ac:dyDescent="0.35">
      <c r="A8" s="39" t="s">
        <v>21</v>
      </c>
      <c r="B8" s="31"/>
      <c r="C8" s="31"/>
      <c r="D8" s="31"/>
      <c r="E8" s="31"/>
      <c r="F8" s="31"/>
      <c r="G8" s="31"/>
      <c r="H8" s="31"/>
      <c r="I8" s="31"/>
      <c r="J8" s="31"/>
      <c r="K8" s="15">
        <f>IF(N8&lt;=O8,1,0)</f>
        <v>1</v>
      </c>
      <c r="L8" s="19"/>
      <c r="M8" s="14" t="s">
        <v>22</v>
      </c>
      <c r="N8">
        <v>0</v>
      </c>
      <c r="O8" s="11">
        <v>3</v>
      </c>
      <c r="Q8" s="34"/>
      <c r="R8" s="31"/>
      <c r="S8" s="31"/>
      <c r="T8" s="31"/>
      <c r="U8" s="31"/>
    </row>
    <row r="9" spans="1:22" ht="30" customHeight="1" x14ac:dyDescent="0.35">
      <c r="A9" s="39" t="s">
        <v>23</v>
      </c>
      <c r="B9" s="31"/>
      <c r="C9" s="31"/>
      <c r="D9" s="31"/>
      <c r="E9" s="31"/>
      <c r="F9" s="31"/>
      <c r="G9" s="31"/>
      <c r="H9" s="31"/>
      <c r="I9" s="31"/>
      <c r="J9" s="31"/>
      <c r="K9">
        <v>1</v>
      </c>
      <c r="L9" s="19"/>
      <c r="Q9" s="34"/>
      <c r="R9" s="31"/>
      <c r="S9" s="31"/>
      <c r="T9" s="31"/>
      <c r="U9" s="31"/>
    </row>
    <row r="10" spans="1:22" ht="37.4" customHeight="1" x14ac:dyDescent="0.35">
      <c r="A10" s="39" t="s">
        <v>24</v>
      </c>
      <c r="B10" s="31"/>
      <c r="C10" s="31"/>
      <c r="D10" s="31"/>
      <c r="E10" s="31"/>
      <c r="F10" s="31"/>
      <c r="G10" s="31"/>
      <c r="H10" s="31"/>
      <c r="I10" s="31"/>
      <c r="J10" s="31"/>
      <c r="K10">
        <v>1</v>
      </c>
      <c r="L10" s="19"/>
      <c r="Q10" s="34"/>
      <c r="R10" s="31"/>
      <c r="S10" s="31"/>
      <c r="T10" s="31"/>
      <c r="U10" s="31"/>
    </row>
    <row r="11" spans="1:22" ht="36.75" customHeight="1" x14ac:dyDescent="0.35">
      <c r="A11" s="39" t="s">
        <v>25</v>
      </c>
      <c r="B11" s="31"/>
      <c r="C11" s="31"/>
      <c r="D11" s="31"/>
      <c r="E11" s="31"/>
      <c r="F11" s="31"/>
      <c r="G11" s="31"/>
      <c r="H11" s="31"/>
      <c r="I11" s="31"/>
      <c r="J11" s="31"/>
      <c r="K11">
        <v>1</v>
      </c>
      <c r="L11" s="19"/>
      <c r="Q11" s="34"/>
      <c r="R11" s="31"/>
      <c r="S11" s="31"/>
      <c r="T11" s="31"/>
      <c r="U11" s="31"/>
    </row>
    <row r="12" spans="1:22" ht="55.4" customHeight="1" x14ac:dyDescent="0.35">
      <c r="A12" s="39" t="s">
        <v>26</v>
      </c>
      <c r="B12" s="31"/>
      <c r="C12" s="31"/>
      <c r="D12" s="31"/>
      <c r="E12" s="31"/>
      <c r="F12" s="31"/>
      <c r="G12" s="31"/>
      <c r="H12" s="31"/>
      <c r="I12" s="31"/>
      <c r="J12" s="31"/>
      <c r="K12" s="15">
        <f>IF(N12&lt;=O12,1,0)</f>
        <v>0</v>
      </c>
      <c r="L12" s="18" t="s">
        <v>136</v>
      </c>
      <c r="M12" t="s">
        <v>28</v>
      </c>
      <c r="N12">
        <v>4</v>
      </c>
      <c r="O12" s="11">
        <v>3</v>
      </c>
      <c r="P12" s="10"/>
      <c r="Q12" s="36" t="s">
        <v>137</v>
      </c>
      <c r="R12" s="31"/>
      <c r="S12" s="31"/>
      <c r="T12" s="31"/>
      <c r="U12" s="31"/>
      <c r="V12" s="54"/>
    </row>
    <row r="13" spans="1:22" ht="27.65" customHeight="1" x14ac:dyDescent="0.35">
      <c r="A13" s="9"/>
      <c r="B13" s="9"/>
      <c r="C13" s="9"/>
      <c r="D13" s="9"/>
      <c r="E13" s="9"/>
      <c r="F13" s="9"/>
      <c r="G13" s="9"/>
      <c r="H13" s="9"/>
      <c r="I13" s="9"/>
      <c r="J13" s="9"/>
      <c r="K13" s="8"/>
      <c r="O13" s="13"/>
      <c r="P13" s="10"/>
      <c r="Q13" s="10"/>
      <c r="R13" s="10"/>
      <c r="S13" s="10"/>
      <c r="T13" s="10"/>
    </row>
    <row r="14" spans="1:22" x14ac:dyDescent="0.35">
      <c r="A14" s="41" t="s">
        <v>29</v>
      </c>
      <c r="B14" s="31"/>
      <c r="C14" s="31"/>
      <c r="D14" s="31"/>
      <c r="E14" s="31"/>
      <c r="F14" s="31"/>
      <c r="G14" s="31"/>
      <c r="H14" s="31"/>
      <c r="I14" s="31"/>
      <c r="J14" s="31"/>
      <c r="K14" s="1" t="s">
        <v>30</v>
      </c>
      <c r="M14" s="3" t="s">
        <v>31</v>
      </c>
      <c r="N14" s="3">
        <f>SUM($K$16:$K$19)</f>
        <v>4</v>
      </c>
      <c r="O14" s="3">
        <v>4</v>
      </c>
    </row>
    <row r="15" spans="1:22" x14ac:dyDescent="0.35">
      <c r="A15" s="44" t="s">
        <v>32</v>
      </c>
      <c r="B15" s="31"/>
      <c r="C15" s="31"/>
      <c r="D15" s="31"/>
      <c r="E15" s="31"/>
      <c r="F15" s="31"/>
      <c r="G15" s="31"/>
      <c r="H15" s="31"/>
      <c r="I15" s="31"/>
      <c r="J15" s="31"/>
      <c r="K15" s="31"/>
      <c r="M15" s="12"/>
      <c r="N15" s="12"/>
      <c r="O15" s="12"/>
    </row>
    <row r="16" spans="1:22" ht="82.5" customHeight="1" x14ac:dyDescent="0.35">
      <c r="A16" s="35" t="s">
        <v>33</v>
      </c>
      <c r="B16" s="31"/>
      <c r="C16" s="31"/>
      <c r="D16" s="31"/>
      <c r="E16" s="31"/>
      <c r="F16" s="31"/>
      <c r="G16" s="31"/>
      <c r="H16" s="31"/>
      <c r="I16" s="31"/>
      <c r="J16" s="31"/>
      <c r="K16">
        <v>1</v>
      </c>
      <c r="L16" s="18" t="s">
        <v>138</v>
      </c>
      <c r="M16" s="10"/>
      <c r="N16" s="10"/>
      <c r="O16" s="10"/>
      <c r="Q16" s="51"/>
      <c r="R16" s="31"/>
      <c r="S16" s="31"/>
      <c r="T16" s="31"/>
      <c r="U16" s="31"/>
    </row>
    <row r="17" spans="1:21" ht="75" customHeight="1" x14ac:dyDescent="0.35">
      <c r="A17" s="35" t="s">
        <v>35</v>
      </c>
      <c r="B17" s="31"/>
      <c r="C17" s="31"/>
      <c r="D17" s="31"/>
      <c r="E17" s="31"/>
      <c r="F17" s="31"/>
      <c r="G17" s="31"/>
      <c r="H17" s="31"/>
      <c r="I17" s="31"/>
      <c r="J17" s="31"/>
      <c r="K17">
        <v>1</v>
      </c>
      <c r="L17" s="18" t="s">
        <v>139</v>
      </c>
      <c r="Q17" s="51" t="s">
        <v>140</v>
      </c>
      <c r="R17" s="31"/>
      <c r="S17" s="31"/>
      <c r="T17" s="31"/>
      <c r="U17" s="31"/>
    </row>
    <row r="18" spans="1:21" ht="98.5" customHeight="1" x14ac:dyDescent="0.35">
      <c r="A18" s="35" t="s">
        <v>38</v>
      </c>
      <c r="B18" s="31"/>
      <c r="C18" s="31"/>
      <c r="D18" s="31"/>
      <c r="E18" s="31"/>
      <c r="F18" s="31"/>
      <c r="G18" s="31"/>
      <c r="H18" s="31"/>
      <c r="I18" s="31"/>
      <c r="J18" s="31"/>
      <c r="K18">
        <v>1</v>
      </c>
      <c r="L18" s="18" t="s">
        <v>138</v>
      </c>
      <c r="Q18" s="51"/>
      <c r="R18" s="31"/>
      <c r="S18" s="31"/>
      <c r="T18" s="31"/>
      <c r="U18" s="31"/>
    </row>
    <row r="19" spans="1:21" ht="60.75" customHeight="1" x14ac:dyDescent="0.35">
      <c r="A19" s="35" t="s">
        <v>39</v>
      </c>
      <c r="B19" s="31"/>
      <c r="C19" s="31"/>
      <c r="D19" s="31"/>
      <c r="E19" s="31"/>
      <c r="F19" s="31"/>
      <c r="G19" s="31"/>
      <c r="H19" s="31"/>
      <c r="I19" s="31"/>
      <c r="J19" s="31"/>
      <c r="K19">
        <v>1</v>
      </c>
      <c r="L19" s="18" t="s">
        <v>141</v>
      </c>
      <c r="Q19" s="34"/>
      <c r="R19" s="31"/>
      <c r="S19" s="31"/>
      <c r="T19" s="31"/>
      <c r="U19" s="31"/>
    </row>
    <row r="20" spans="1:21" x14ac:dyDescent="0.35">
      <c r="A20" s="41" t="s">
        <v>42</v>
      </c>
      <c r="B20" s="31"/>
      <c r="C20" s="31"/>
      <c r="D20" s="31"/>
      <c r="E20" s="31"/>
      <c r="F20" s="31"/>
      <c r="G20" s="31"/>
      <c r="H20" s="31"/>
      <c r="I20" s="31"/>
      <c r="J20" s="31"/>
      <c r="K20" s="1"/>
      <c r="M20" s="3" t="s">
        <v>43</v>
      </c>
      <c r="N20" s="3">
        <f>SUM($K$23:$K$26)</f>
        <v>4</v>
      </c>
      <c r="O20" s="4">
        <v>4</v>
      </c>
    </row>
    <row r="21" spans="1:21" x14ac:dyDescent="0.35">
      <c r="A21" s="44" t="s">
        <v>32</v>
      </c>
      <c r="B21" s="31"/>
      <c r="C21" s="31"/>
      <c r="D21" s="31"/>
      <c r="E21" s="31"/>
      <c r="F21" s="31"/>
      <c r="G21" s="31"/>
      <c r="H21" s="31"/>
      <c r="I21" s="31"/>
      <c r="J21" s="31"/>
      <c r="K21" s="31"/>
      <c r="M21" s="3"/>
      <c r="N21" s="3"/>
      <c r="O21" s="3"/>
    </row>
    <row r="22" spans="1:21" ht="59.25" customHeight="1" x14ac:dyDescent="0.35">
      <c r="A22" s="35" t="s">
        <v>44</v>
      </c>
      <c r="B22" s="31"/>
      <c r="C22" s="31"/>
      <c r="D22" s="31"/>
      <c r="E22" s="31"/>
      <c r="F22" s="31"/>
      <c r="G22" s="31"/>
      <c r="H22" s="31"/>
      <c r="I22" s="31"/>
      <c r="J22" s="31"/>
      <c r="K22">
        <v>1</v>
      </c>
      <c r="L22" s="18" t="s">
        <v>142</v>
      </c>
      <c r="M22" s="10"/>
      <c r="N22" s="10"/>
      <c r="O22" s="10"/>
      <c r="Q22" s="34"/>
      <c r="R22" s="31"/>
      <c r="S22" s="31"/>
      <c r="T22" s="31"/>
      <c r="U22" s="31"/>
    </row>
    <row r="23" spans="1:21" ht="56.5" customHeight="1" x14ac:dyDescent="0.35">
      <c r="A23" s="35" t="s">
        <v>47</v>
      </c>
      <c r="B23" s="31"/>
      <c r="C23" s="31"/>
      <c r="D23" s="31"/>
      <c r="E23" s="31"/>
      <c r="F23" s="31"/>
      <c r="G23" s="31"/>
      <c r="H23" s="31"/>
      <c r="I23" s="31"/>
      <c r="J23" s="31"/>
      <c r="K23">
        <v>1</v>
      </c>
      <c r="L23" s="18" t="s">
        <v>143</v>
      </c>
      <c r="Q23" s="34"/>
      <c r="R23" s="31"/>
      <c r="S23" s="31"/>
      <c r="T23" s="31"/>
      <c r="U23" s="31"/>
    </row>
    <row r="24" spans="1:21" ht="55.5" customHeight="1" x14ac:dyDescent="0.35">
      <c r="A24" s="35" t="s">
        <v>49</v>
      </c>
      <c r="B24" s="31"/>
      <c r="C24" s="31"/>
      <c r="D24" s="31"/>
      <c r="E24" s="31"/>
      <c r="F24" s="31"/>
      <c r="G24" s="31"/>
      <c r="H24" s="31"/>
      <c r="I24" s="31"/>
      <c r="J24" s="31"/>
      <c r="K24">
        <v>1</v>
      </c>
      <c r="L24" s="18" t="s">
        <v>144</v>
      </c>
      <c r="Q24" s="34"/>
      <c r="R24" s="31"/>
      <c r="S24" s="31"/>
      <c r="T24" s="31"/>
      <c r="U24" s="31"/>
    </row>
    <row r="25" spans="1:21" ht="69.75" customHeight="1" x14ac:dyDescent="0.35">
      <c r="A25" s="35" t="s">
        <v>51</v>
      </c>
      <c r="B25" s="31"/>
      <c r="C25" s="31"/>
      <c r="D25" s="31"/>
      <c r="E25" s="31"/>
      <c r="F25" s="31"/>
      <c r="G25" s="31"/>
      <c r="H25" s="31"/>
      <c r="I25" s="31"/>
      <c r="J25" s="31"/>
      <c r="K25">
        <v>1</v>
      </c>
      <c r="L25" s="18" t="s">
        <v>145</v>
      </c>
      <c r="Q25" s="34"/>
      <c r="R25" s="31"/>
      <c r="S25" s="31"/>
      <c r="T25" s="31"/>
      <c r="U25" s="31"/>
    </row>
    <row r="26" spans="1:21" ht="74.25" customHeight="1" x14ac:dyDescent="0.35">
      <c r="A26" s="35" t="s">
        <v>53</v>
      </c>
      <c r="B26" s="31"/>
      <c r="C26" s="31"/>
      <c r="D26" s="31"/>
      <c r="E26" s="31"/>
      <c r="F26" s="31"/>
      <c r="G26" s="31"/>
      <c r="H26" s="31"/>
      <c r="I26" s="31"/>
      <c r="J26" s="31"/>
      <c r="K26">
        <v>1</v>
      </c>
      <c r="L26" s="18" t="s">
        <v>146</v>
      </c>
      <c r="Q26" s="34"/>
      <c r="R26" s="31"/>
      <c r="S26" s="31"/>
      <c r="T26" s="31"/>
      <c r="U26" s="31"/>
    </row>
    <row r="27" spans="1:21" x14ac:dyDescent="0.35">
      <c r="A27" s="41" t="s">
        <v>55</v>
      </c>
      <c r="B27" s="31"/>
      <c r="C27" s="31"/>
      <c r="D27" s="31"/>
      <c r="E27" s="31"/>
      <c r="F27" s="31"/>
      <c r="G27" s="31"/>
      <c r="H27" s="31"/>
      <c r="I27" s="31"/>
      <c r="J27" s="31"/>
      <c r="K27" s="1"/>
      <c r="M27" s="3" t="s">
        <v>56</v>
      </c>
      <c r="N27" s="3">
        <f>SUM($K$29:$K32)</f>
        <v>4</v>
      </c>
      <c r="O27" s="4">
        <v>4</v>
      </c>
    </row>
    <row r="28" spans="1:21" x14ac:dyDescent="0.35">
      <c r="A28" s="44" t="s">
        <v>32</v>
      </c>
      <c r="B28" s="31"/>
      <c r="C28" s="31"/>
      <c r="D28" s="31"/>
      <c r="E28" s="31"/>
      <c r="F28" s="31"/>
      <c r="G28" s="31"/>
      <c r="H28" s="31"/>
      <c r="I28" s="31"/>
      <c r="J28" s="31"/>
      <c r="K28" s="31"/>
      <c r="M28" s="3"/>
      <c r="N28" s="3"/>
      <c r="O28" s="3"/>
    </row>
    <row r="29" spans="1:21" ht="87.65" customHeight="1" x14ac:dyDescent="0.35">
      <c r="A29" s="35" t="s">
        <v>57</v>
      </c>
      <c r="B29" s="31"/>
      <c r="C29" s="31"/>
      <c r="D29" s="31"/>
      <c r="E29" s="31"/>
      <c r="F29" s="31"/>
      <c r="G29" s="31"/>
      <c r="H29" s="31"/>
      <c r="I29" s="31"/>
      <c r="J29" s="31"/>
      <c r="K29">
        <v>1</v>
      </c>
      <c r="L29" s="18" t="s">
        <v>138</v>
      </c>
      <c r="Q29" s="34"/>
      <c r="R29" s="31"/>
      <c r="S29" s="31"/>
      <c r="T29" s="31"/>
      <c r="U29" s="31"/>
    </row>
    <row r="30" spans="1:21" ht="85.75" customHeight="1" x14ac:dyDescent="0.35">
      <c r="A30" s="39" t="s">
        <v>59</v>
      </c>
      <c r="B30" s="31"/>
      <c r="C30" s="31"/>
      <c r="D30" s="31"/>
      <c r="E30" s="31"/>
      <c r="F30" s="31"/>
      <c r="G30" s="31"/>
      <c r="H30" s="31"/>
      <c r="I30" s="31"/>
      <c r="J30" s="31"/>
      <c r="K30">
        <v>1</v>
      </c>
      <c r="L30" s="18" t="s">
        <v>138</v>
      </c>
      <c r="Q30" s="34"/>
      <c r="R30" s="31"/>
      <c r="S30" s="31"/>
      <c r="T30" s="31"/>
      <c r="U30" s="31"/>
    </row>
    <row r="31" spans="1:21" ht="99" customHeight="1" x14ac:dyDescent="0.35">
      <c r="A31" s="39" t="s">
        <v>60</v>
      </c>
      <c r="B31" s="31"/>
      <c r="C31" s="31"/>
      <c r="D31" s="31"/>
      <c r="E31" s="31"/>
      <c r="F31" s="31"/>
      <c r="G31" s="31"/>
      <c r="H31" s="31"/>
      <c r="I31" s="31"/>
      <c r="J31" s="31"/>
      <c r="K31">
        <v>1</v>
      </c>
      <c r="L31" s="18" t="s">
        <v>147</v>
      </c>
      <c r="Q31" s="34"/>
      <c r="R31" s="31"/>
      <c r="S31" s="31"/>
      <c r="T31" s="31"/>
      <c r="U31" s="31"/>
    </row>
    <row r="32" spans="1:21" ht="71.5" customHeight="1" x14ac:dyDescent="0.35">
      <c r="A32" s="52" t="s">
        <v>62</v>
      </c>
      <c r="B32" s="31"/>
      <c r="C32" s="31"/>
      <c r="D32" s="31"/>
      <c r="E32" s="31"/>
      <c r="F32" s="31"/>
      <c r="G32" s="31"/>
      <c r="H32" s="31"/>
      <c r="I32" s="31"/>
      <c r="J32" s="31"/>
      <c r="K32">
        <v>1</v>
      </c>
      <c r="L32" s="18" t="s">
        <v>148</v>
      </c>
    </row>
    <row r="33" spans="1:22" x14ac:dyDescent="0.35">
      <c r="A33" s="41" t="s">
        <v>64</v>
      </c>
      <c r="B33" s="31"/>
      <c r="C33" s="31"/>
      <c r="D33" s="31"/>
      <c r="E33" s="31"/>
      <c r="F33" s="31"/>
      <c r="G33" s="31"/>
      <c r="H33" s="31"/>
      <c r="I33" s="31"/>
      <c r="J33" s="31"/>
      <c r="K33" s="1"/>
      <c r="M33" s="3" t="s">
        <v>65</v>
      </c>
      <c r="N33" s="3">
        <f>SUM($K$35:$K39)</f>
        <v>4</v>
      </c>
      <c r="O33" s="4">
        <v>4</v>
      </c>
    </row>
    <row r="34" spans="1:22" x14ac:dyDescent="0.35">
      <c r="A34" s="44" t="s">
        <v>32</v>
      </c>
      <c r="B34" s="31"/>
      <c r="C34" s="31"/>
      <c r="D34" s="31"/>
      <c r="E34" s="31"/>
      <c r="F34" s="31"/>
      <c r="G34" s="31"/>
      <c r="H34" s="31"/>
      <c r="I34" s="31"/>
      <c r="J34" s="31"/>
      <c r="K34" s="31"/>
      <c r="M34" s="3"/>
      <c r="N34" s="3"/>
      <c r="O34" s="3"/>
    </row>
    <row r="35" spans="1:22" ht="49.4" customHeight="1" x14ac:dyDescent="0.35">
      <c r="A35" s="35" t="s">
        <v>66</v>
      </c>
      <c r="B35" s="31"/>
      <c r="C35" s="31"/>
      <c r="D35" s="31"/>
      <c r="E35" s="31"/>
      <c r="F35" s="31"/>
      <c r="G35" s="31"/>
      <c r="H35" s="31"/>
      <c r="I35" s="31"/>
      <c r="J35" s="31"/>
      <c r="K35">
        <v>1</v>
      </c>
      <c r="L35" s="18" t="s">
        <v>149</v>
      </c>
      <c r="M35" s="33"/>
      <c r="N35" s="31"/>
      <c r="O35" s="31"/>
      <c r="P35" s="31"/>
      <c r="Q35" s="31"/>
      <c r="R35" s="33"/>
      <c r="S35" s="31"/>
      <c r="T35" s="31"/>
      <c r="U35" s="31"/>
      <c r="V35" s="31"/>
    </row>
    <row r="36" spans="1:22" ht="54" customHeight="1" x14ac:dyDescent="0.35">
      <c r="A36" s="35" t="s">
        <v>68</v>
      </c>
      <c r="B36" s="31"/>
      <c r="C36" s="31"/>
      <c r="D36" s="31"/>
      <c r="E36" s="31"/>
      <c r="F36" s="31"/>
      <c r="G36" s="31"/>
      <c r="H36" s="31"/>
      <c r="I36" s="31"/>
      <c r="J36" s="31"/>
      <c r="K36">
        <v>1</v>
      </c>
      <c r="L36" s="18" t="s">
        <v>150</v>
      </c>
      <c r="M36" s="9"/>
      <c r="N36" s="9"/>
      <c r="O36" s="9"/>
      <c r="P36" s="9"/>
      <c r="Q36" s="34"/>
      <c r="R36" s="31"/>
      <c r="S36" s="31"/>
      <c r="T36" s="31"/>
      <c r="U36" s="31"/>
      <c r="V36" s="9"/>
    </row>
    <row r="37" spans="1:22" ht="28.4" customHeight="1" x14ac:dyDescent="0.35">
      <c r="A37" s="35" t="s">
        <v>70</v>
      </c>
      <c r="B37" s="31"/>
      <c r="C37" s="31"/>
      <c r="D37" s="31"/>
      <c r="E37" s="31"/>
      <c r="F37" s="31"/>
      <c r="G37" s="31"/>
      <c r="H37" s="31"/>
      <c r="I37" s="31"/>
      <c r="J37" s="31"/>
      <c r="K37">
        <v>1</v>
      </c>
      <c r="L37" s="19"/>
      <c r="M37" s="9"/>
      <c r="N37" s="9"/>
      <c r="O37" s="9"/>
      <c r="P37" s="9"/>
      <c r="Q37" s="34"/>
      <c r="R37" s="31"/>
      <c r="S37" s="31"/>
      <c r="T37" s="31"/>
      <c r="U37" s="31"/>
      <c r="V37" s="9"/>
    </row>
    <row r="38" spans="1:22" ht="28.4" customHeight="1" x14ac:dyDescent="0.35">
      <c r="A38" s="35" t="s">
        <v>71</v>
      </c>
      <c r="B38" s="31"/>
      <c r="C38" s="31"/>
      <c r="D38" s="31"/>
      <c r="E38" s="31"/>
      <c r="F38" s="31"/>
      <c r="G38" s="31"/>
      <c r="H38" s="31"/>
      <c r="I38" s="31"/>
      <c r="J38" s="31"/>
      <c r="K38">
        <v>1</v>
      </c>
      <c r="L38" s="19"/>
      <c r="M38" s="9"/>
      <c r="N38" s="9"/>
      <c r="O38" s="9"/>
      <c r="P38" s="9"/>
      <c r="Q38" s="34"/>
      <c r="R38" s="31"/>
      <c r="S38" s="31"/>
      <c r="T38" s="31"/>
      <c r="U38" s="31"/>
      <c r="V38" s="9"/>
    </row>
    <row r="39" spans="1:22" x14ac:dyDescent="0.35">
      <c r="A39" s="41" t="s">
        <v>72</v>
      </c>
      <c r="B39" s="31"/>
      <c r="C39" s="31"/>
      <c r="D39" s="31"/>
      <c r="E39" s="31"/>
      <c r="F39" s="31"/>
      <c r="G39" s="31"/>
      <c r="H39" s="31"/>
      <c r="I39" s="31"/>
      <c r="J39" s="31"/>
      <c r="K39" s="1"/>
      <c r="M39" s="3" t="s">
        <v>73</v>
      </c>
      <c r="N39" s="3">
        <f>SUM($K$41:$K44)</f>
        <v>4</v>
      </c>
      <c r="O39" s="4">
        <v>4</v>
      </c>
    </row>
    <row r="40" spans="1:22" x14ac:dyDescent="0.35">
      <c r="A40" s="44" t="s">
        <v>32</v>
      </c>
      <c r="B40" s="31"/>
      <c r="C40" s="31"/>
      <c r="D40" s="31"/>
      <c r="E40" s="31"/>
      <c r="F40" s="31"/>
      <c r="G40" s="31"/>
      <c r="H40" s="31"/>
      <c r="I40" s="31"/>
      <c r="J40" s="31"/>
      <c r="K40" s="31"/>
      <c r="M40" s="3"/>
      <c r="N40" s="3"/>
      <c r="O40" s="3"/>
    </row>
    <row r="41" spans="1:22" ht="69.650000000000006" customHeight="1" x14ac:dyDescent="0.35">
      <c r="A41" s="35" t="s">
        <v>74</v>
      </c>
      <c r="B41" s="31"/>
      <c r="C41" s="31"/>
      <c r="D41" s="31"/>
      <c r="E41" s="31"/>
      <c r="F41" s="31"/>
      <c r="G41" s="31"/>
      <c r="H41" s="31"/>
      <c r="I41" s="31"/>
      <c r="J41" s="31"/>
      <c r="K41">
        <v>1</v>
      </c>
      <c r="L41" s="18" t="s">
        <v>151</v>
      </c>
      <c r="Q41" s="51" t="s">
        <v>152</v>
      </c>
      <c r="R41" s="31"/>
      <c r="S41" s="31"/>
      <c r="T41" s="31"/>
      <c r="U41" s="31"/>
    </row>
    <row r="42" spans="1:22" ht="36" customHeight="1" x14ac:dyDescent="0.35">
      <c r="A42" s="35" t="s">
        <v>77</v>
      </c>
      <c r="B42" s="31"/>
      <c r="C42" s="31"/>
      <c r="D42" s="31"/>
      <c r="E42" s="31"/>
      <c r="F42" s="31"/>
      <c r="G42" s="31"/>
      <c r="H42" s="31"/>
      <c r="I42" s="31"/>
      <c r="J42" s="31"/>
      <c r="K42">
        <v>1</v>
      </c>
      <c r="L42" s="18" t="s">
        <v>153</v>
      </c>
      <c r="Q42" s="34"/>
      <c r="R42" s="31"/>
      <c r="S42" s="31"/>
      <c r="T42" s="31"/>
      <c r="U42" s="31"/>
    </row>
    <row r="43" spans="1:22" ht="36" customHeight="1" x14ac:dyDescent="0.35">
      <c r="A43" s="35" t="s">
        <v>79</v>
      </c>
      <c r="B43" s="31"/>
      <c r="C43" s="31"/>
      <c r="D43" s="31"/>
      <c r="E43" s="31"/>
      <c r="F43" s="31"/>
      <c r="G43" s="31"/>
      <c r="H43" s="31"/>
      <c r="I43" s="31"/>
      <c r="J43" s="31"/>
      <c r="K43">
        <v>1</v>
      </c>
      <c r="L43" s="18" t="s">
        <v>154</v>
      </c>
      <c r="Q43" s="34"/>
      <c r="R43" s="31"/>
      <c r="S43" s="31"/>
      <c r="T43" s="31"/>
      <c r="U43" s="31"/>
    </row>
    <row r="44" spans="1:22" ht="33" customHeight="1" x14ac:dyDescent="0.35">
      <c r="A44" s="37" t="s">
        <v>81</v>
      </c>
      <c r="B44" s="31"/>
      <c r="C44" s="31"/>
      <c r="D44" s="31"/>
      <c r="E44" s="31"/>
      <c r="F44" s="31"/>
      <c r="G44" s="31"/>
      <c r="H44" s="31"/>
      <c r="I44" s="31"/>
      <c r="J44" s="31"/>
      <c r="K44" s="21">
        <v>1</v>
      </c>
      <c r="L44" s="22" t="s">
        <v>155</v>
      </c>
      <c r="Q44" s="34"/>
      <c r="R44" s="31"/>
      <c r="S44" s="31"/>
      <c r="T44" s="31"/>
      <c r="U44" s="31"/>
    </row>
    <row r="45" spans="1:22" x14ac:dyDescent="0.35">
      <c r="A45" s="32" t="s">
        <v>83</v>
      </c>
      <c r="B45" s="31"/>
      <c r="C45" s="31"/>
      <c r="D45" s="31"/>
      <c r="E45" s="31"/>
      <c r="F45" s="31"/>
      <c r="G45" s="31"/>
      <c r="H45" s="31"/>
      <c r="I45" s="31"/>
      <c r="J45" s="31"/>
      <c r="K45" s="2"/>
      <c r="M45" s="3" t="s">
        <v>84</v>
      </c>
      <c r="N45" s="3">
        <f>IF(SUM($N$3:$R$3)=5,SUM($K$47:$K56),0)</f>
        <v>0</v>
      </c>
      <c r="O45" s="4">
        <v>10</v>
      </c>
    </row>
    <row r="46" spans="1:22" x14ac:dyDescent="0.35">
      <c r="A46" s="50" t="s">
        <v>85</v>
      </c>
      <c r="B46" s="31"/>
      <c r="C46" s="31"/>
      <c r="D46" s="31"/>
      <c r="E46" s="31"/>
      <c r="F46" s="31"/>
      <c r="G46" s="31"/>
      <c r="H46" s="31"/>
      <c r="I46" s="31"/>
      <c r="J46" s="31"/>
      <c r="K46" s="31"/>
      <c r="M46" s="3"/>
      <c r="N46" s="3"/>
      <c r="O46" s="3"/>
    </row>
    <row r="47" spans="1:22" x14ac:dyDescent="0.35">
      <c r="A47" s="33" t="s">
        <v>86</v>
      </c>
      <c r="B47" s="31"/>
      <c r="C47" s="31"/>
      <c r="D47" s="31"/>
      <c r="E47" s="31"/>
      <c r="F47" s="31"/>
      <c r="G47" s="31"/>
      <c r="H47" s="31"/>
      <c r="I47" s="31"/>
      <c r="J47" s="31"/>
      <c r="K47">
        <v>1</v>
      </c>
      <c r="L47" s="19"/>
      <c r="Q47" s="34"/>
      <c r="R47" s="31"/>
      <c r="S47" s="31"/>
      <c r="T47" s="31"/>
      <c r="U47" s="31"/>
    </row>
    <row r="48" spans="1:22" x14ac:dyDescent="0.35">
      <c r="A48" s="33" t="s">
        <v>87</v>
      </c>
      <c r="B48" s="31"/>
      <c r="C48" s="31"/>
      <c r="D48" s="31"/>
      <c r="E48" s="31"/>
      <c r="F48" s="31"/>
      <c r="G48" s="31"/>
      <c r="H48" s="31"/>
      <c r="I48" s="31"/>
      <c r="J48" s="31"/>
      <c r="K48">
        <v>1</v>
      </c>
      <c r="L48" s="19"/>
      <c r="Q48" s="34"/>
      <c r="R48" s="31"/>
      <c r="S48" s="31"/>
      <c r="T48" s="31"/>
      <c r="U48" s="31"/>
    </row>
    <row r="49" spans="1:21" ht="72" customHeight="1" x14ac:dyDescent="0.35">
      <c r="A49" s="39" t="s">
        <v>88</v>
      </c>
      <c r="B49" s="31"/>
      <c r="C49" s="31"/>
      <c r="D49" s="31"/>
      <c r="E49" s="31"/>
      <c r="F49" s="31"/>
      <c r="G49" s="31"/>
      <c r="H49" s="31"/>
      <c r="I49" s="31"/>
      <c r="J49" s="31"/>
      <c r="K49">
        <v>1</v>
      </c>
      <c r="L49" s="18" t="s">
        <v>89</v>
      </c>
      <c r="Q49" s="34"/>
      <c r="R49" s="31"/>
      <c r="S49" s="31"/>
      <c r="T49" s="31"/>
      <c r="U49" s="31"/>
    </row>
    <row r="50" spans="1:21" ht="48" customHeight="1" x14ac:dyDescent="0.35">
      <c r="A50" s="39" t="s">
        <v>90</v>
      </c>
      <c r="B50" s="31"/>
      <c r="C50" s="31"/>
      <c r="D50" s="31"/>
      <c r="E50" s="31"/>
      <c r="F50" s="31"/>
      <c r="G50" s="31"/>
      <c r="H50" s="31"/>
      <c r="I50" s="31"/>
      <c r="J50" s="31"/>
      <c r="K50">
        <v>1</v>
      </c>
      <c r="L50" s="18" t="s">
        <v>156</v>
      </c>
      <c r="Q50" s="34"/>
      <c r="R50" s="31"/>
      <c r="S50" s="31"/>
      <c r="T50" s="31"/>
      <c r="U50" s="31"/>
    </row>
    <row r="51" spans="1:21" ht="43.75" customHeight="1" x14ac:dyDescent="0.35">
      <c r="A51" s="39" t="s">
        <v>92</v>
      </c>
      <c r="B51" s="31"/>
      <c r="C51" s="31"/>
      <c r="D51" s="31"/>
      <c r="E51" s="31"/>
      <c r="F51" s="31"/>
      <c r="G51" s="31"/>
      <c r="H51" s="31"/>
      <c r="I51" s="31"/>
      <c r="J51" s="31"/>
      <c r="K51">
        <v>1</v>
      </c>
      <c r="L51" s="18" t="s">
        <v>157</v>
      </c>
      <c r="Q51" s="34"/>
      <c r="R51" s="31"/>
      <c r="S51" s="31"/>
      <c r="T51" s="31"/>
      <c r="U51" s="31"/>
    </row>
    <row r="52" spans="1:21" ht="24" customHeight="1" x14ac:dyDescent="0.35">
      <c r="A52" s="39" t="s">
        <v>93</v>
      </c>
      <c r="B52" s="31"/>
      <c r="C52" s="31"/>
      <c r="D52" s="31"/>
      <c r="E52" s="31"/>
      <c r="F52" s="31"/>
      <c r="G52" s="31"/>
      <c r="H52" s="31"/>
      <c r="I52" s="31"/>
      <c r="J52" s="31"/>
      <c r="K52">
        <v>0</v>
      </c>
      <c r="L52" s="18" t="s">
        <v>98</v>
      </c>
      <c r="Q52" s="34"/>
      <c r="R52" s="31"/>
      <c r="S52" s="31"/>
      <c r="T52" s="31"/>
      <c r="U52" s="31"/>
    </row>
    <row r="53" spans="1:21" ht="28.75" customHeight="1" x14ac:dyDescent="0.35">
      <c r="A53" s="39" t="s">
        <v>95</v>
      </c>
      <c r="B53" s="31"/>
      <c r="C53" s="31"/>
      <c r="D53" s="31"/>
      <c r="E53" s="31"/>
      <c r="F53" s="31"/>
      <c r="G53" s="31"/>
      <c r="H53" s="31"/>
      <c r="I53" s="31"/>
      <c r="J53" s="31"/>
      <c r="K53">
        <v>0</v>
      </c>
      <c r="L53" s="18" t="s">
        <v>158</v>
      </c>
      <c r="Q53" s="34"/>
      <c r="R53" s="31"/>
      <c r="S53" s="31"/>
      <c r="T53" s="31"/>
      <c r="U53" s="31"/>
    </row>
    <row r="54" spans="1:21" ht="93" customHeight="1" x14ac:dyDescent="0.35">
      <c r="A54" s="39" t="s">
        <v>97</v>
      </c>
      <c r="B54" s="31"/>
      <c r="C54" s="31"/>
      <c r="D54" s="31"/>
      <c r="E54" s="31"/>
      <c r="F54" s="31"/>
      <c r="G54" s="31"/>
      <c r="H54" s="31"/>
      <c r="I54" s="31"/>
      <c r="J54" s="31"/>
      <c r="K54">
        <v>1</v>
      </c>
      <c r="L54" s="18" t="s">
        <v>159</v>
      </c>
      <c r="Q54" s="34"/>
      <c r="R54" s="31"/>
      <c r="S54" s="31"/>
      <c r="T54" s="31"/>
      <c r="U54" s="31"/>
    </row>
    <row r="55" spans="1:21" ht="28.4" customHeight="1" x14ac:dyDescent="0.35">
      <c r="A55" s="39" t="s">
        <v>99</v>
      </c>
      <c r="B55" s="31"/>
      <c r="C55" s="31"/>
      <c r="D55" s="31"/>
      <c r="E55" s="31"/>
      <c r="F55" s="31"/>
      <c r="G55" s="31"/>
      <c r="H55" s="31"/>
      <c r="I55" s="31"/>
      <c r="J55" s="31"/>
      <c r="K55">
        <v>1</v>
      </c>
      <c r="L55" s="18" t="s">
        <v>160</v>
      </c>
      <c r="Q55" s="34"/>
      <c r="R55" s="31"/>
      <c r="S55" s="31"/>
      <c r="T55" s="31"/>
      <c r="U55" s="31"/>
    </row>
    <row r="56" spans="1:21" ht="36" customHeight="1" x14ac:dyDescent="0.35">
      <c r="A56" s="39" t="s">
        <v>100</v>
      </c>
      <c r="B56" s="31"/>
      <c r="C56" s="31"/>
      <c r="D56" s="31"/>
      <c r="E56" s="31"/>
      <c r="F56" s="31"/>
      <c r="G56" s="31"/>
      <c r="H56" s="31"/>
      <c r="I56" s="31"/>
      <c r="J56" s="31"/>
      <c r="K56">
        <v>1</v>
      </c>
      <c r="L56" s="18" t="s">
        <v>155</v>
      </c>
      <c r="Q56" s="34"/>
      <c r="R56" s="31"/>
      <c r="S56" s="31"/>
      <c r="T56" s="31"/>
      <c r="U56" s="31"/>
    </row>
    <row r="58" spans="1:21" x14ac:dyDescent="0.35">
      <c r="H58" s="33" t="s">
        <v>102</v>
      </c>
      <c r="I58" s="31"/>
      <c r="J58" s="31"/>
      <c r="K58" t="str">
        <f>IF($N$5&lt;$O$5,"Non-Recevable",IF(SUM($N$3:$R$3)&lt;3,"Très insuffisant",IF(SUM($N$3:$R$3)&lt;5,"Insuffisant",IF(SUM($K$47:$K$56)&lt;5,"Bien","Très Bien"))))</f>
        <v>Non-Recevable</v>
      </c>
      <c r="M58" s="33"/>
      <c r="N58" s="31"/>
      <c r="O58" s="31"/>
      <c r="P58" s="31"/>
      <c r="Q58" s="49"/>
      <c r="R58" s="31"/>
      <c r="S58" s="31"/>
      <c r="T58" s="31"/>
      <c r="U58" s="31"/>
    </row>
    <row r="59" spans="1:21" x14ac:dyDescent="0.35">
      <c r="H59" t="s">
        <v>103</v>
      </c>
    </row>
    <row r="60" spans="1:21" x14ac:dyDescent="0.35">
      <c r="H60" s="43"/>
      <c r="I60" s="31"/>
      <c r="J60" s="31"/>
      <c r="K60" s="31"/>
      <c r="L60" s="31"/>
      <c r="M60" s="31"/>
    </row>
    <row r="61" spans="1:21" x14ac:dyDescent="0.35">
      <c r="H61" s="31"/>
      <c r="I61" s="31"/>
      <c r="J61" s="31"/>
      <c r="K61" s="31"/>
      <c r="L61" s="31"/>
      <c r="M61" s="31"/>
    </row>
    <row r="62" spans="1:21" x14ac:dyDescent="0.35">
      <c r="H62" s="31"/>
      <c r="I62" s="31"/>
      <c r="J62" s="31"/>
      <c r="K62" s="31"/>
      <c r="L62" s="31"/>
      <c r="M62" s="31"/>
    </row>
    <row r="63" spans="1:21" x14ac:dyDescent="0.35">
      <c r="H63" s="31"/>
      <c r="I63" s="31"/>
      <c r="J63" s="31"/>
      <c r="K63" s="31"/>
      <c r="L63" s="31"/>
      <c r="M63" s="31"/>
    </row>
    <row r="64" spans="1:21" x14ac:dyDescent="0.35">
      <c r="H64" s="31"/>
      <c r="I64" s="31"/>
      <c r="J64" s="31"/>
      <c r="K64" s="31"/>
      <c r="L64" s="31"/>
      <c r="M64" s="31"/>
    </row>
    <row r="65" spans="8:13" x14ac:dyDescent="0.35">
      <c r="H65" s="31"/>
      <c r="I65" s="31"/>
      <c r="J65" s="31"/>
      <c r="K65" s="31"/>
      <c r="L65" s="31"/>
      <c r="M65" s="31"/>
    </row>
    <row r="66" spans="8:13" x14ac:dyDescent="0.35">
      <c r="H66" s="31"/>
      <c r="I66" s="31"/>
      <c r="J66" s="31"/>
      <c r="K66" s="31"/>
      <c r="L66" s="31"/>
      <c r="M66" s="31"/>
    </row>
    <row r="67" spans="8:13" x14ac:dyDescent="0.35">
      <c r="H67" s="31"/>
      <c r="I67" s="31"/>
      <c r="J67" s="31"/>
      <c r="K67" s="31"/>
      <c r="L67" s="31"/>
      <c r="M67" s="31"/>
    </row>
    <row r="68" spans="8:13" x14ac:dyDescent="0.35">
      <c r="H68" s="31"/>
      <c r="I68" s="31"/>
      <c r="J68" s="31"/>
      <c r="K68" s="31"/>
      <c r="L68" s="31"/>
      <c r="M68" s="31"/>
    </row>
  </sheetData>
  <mergeCells count="97">
    <mergeCell ref="Q58:U58"/>
    <mergeCell ref="A46:K46"/>
    <mergeCell ref="Q44:U44"/>
    <mergeCell ref="Q48:U48"/>
    <mergeCell ref="A50:J50"/>
    <mergeCell ref="A47:J47"/>
    <mergeCell ref="M58:P58"/>
    <mergeCell ref="Q53:U53"/>
    <mergeCell ref="A52:J52"/>
    <mergeCell ref="Q52:U52"/>
    <mergeCell ref="A49:J49"/>
    <mergeCell ref="A18:J18"/>
    <mergeCell ref="A23:J23"/>
    <mergeCell ref="A15:K15"/>
    <mergeCell ref="A55:J55"/>
    <mergeCell ref="H58:J58"/>
    <mergeCell ref="A28:K28"/>
    <mergeCell ref="A44:J44"/>
    <mergeCell ref="A42:J42"/>
    <mergeCell ref="A43:J43"/>
    <mergeCell ref="A36:J36"/>
    <mergeCell ref="Q23:U23"/>
    <mergeCell ref="Q56:U56"/>
    <mergeCell ref="A22:J22"/>
    <mergeCell ref="A20:J20"/>
    <mergeCell ref="Q24:U24"/>
    <mergeCell ref="Q26:U26"/>
    <mergeCell ref="Q47:U47"/>
    <mergeCell ref="A34:K34"/>
    <mergeCell ref="A25:J25"/>
    <mergeCell ref="Q41:U41"/>
    <mergeCell ref="Q25:U25"/>
    <mergeCell ref="Q37:U37"/>
    <mergeCell ref="Q29:U29"/>
    <mergeCell ref="Q38:U38"/>
    <mergeCell ref="Q31:U31"/>
    <mergeCell ref="R35:V35"/>
    <mergeCell ref="Q18:U18"/>
    <mergeCell ref="M35:Q35"/>
    <mergeCell ref="A51:J51"/>
    <mergeCell ref="Q51:U51"/>
    <mergeCell ref="A45:J45"/>
    <mergeCell ref="A32:J32"/>
    <mergeCell ref="Q43:U43"/>
    <mergeCell ref="A29:J29"/>
    <mergeCell ref="A38:J38"/>
    <mergeCell ref="Q42:U42"/>
    <mergeCell ref="A31:J31"/>
    <mergeCell ref="Q19:U19"/>
    <mergeCell ref="Q50:U50"/>
    <mergeCell ref="A19:J19"/>
    <mergeCell ref="A39:J39"/>
    <mergeCell ref="A48:J48"/>
    <mergeCell ref="A3:B3"/>
    <mergeCell ref="A8:J8"/>
    <mergeCell ref="Q12:U12"/>
    <mergeCell ref="A17:J17"/>
    <mergeCell ref="A10:J10"/>
    <mergeCell ref="A6:K6"/>
    <mergeCell ref="A9:J9"/>
    <mergeCell ref="A11:J11"/>
    <mergeCell ref="Q7:U7"/>
    <mergeCell ref="A7:J7"/>
    <mergeCell ref="A16:J16"/>
    <mergeCell ref="A12:J12"/>
    <mergeCell ref="H60:M68"/>
    <mergeCell ref="A21:K21"/>
    <mergeCell ref="Q49:U49"/>
    <mergeCell ref="Q22:U22"/>
    <mergeCell ref="A54:J54"/>
    <mergeCell ref="Q36:U36"/>
    <mergeCell ref="Q30:U30"/>
    <mergeCell ref="A41:J41"/>
    <mergeCell ref="A56:J56"/>
    <mergeCell ref="A27:J27"/>
    <mergeCell ref="A40:K40"/>
    <mergeCell ref="A33:J33"/>
    <mergeCell ref="A53:J53"/>
    <mergeCell ref="A35:J35"/>
    <mergeCell ref="Q54:U54"/>
    <mergeCell ref="Q55:U55"/>
    <mergeCell ref="A1:J1"/>
    <mergeCell ref="C3:E3"/>
    <mergeCell ref="Q9:U9"/>
    <mergeCell ref="A37:J37"/>
    <mergeCell ref="Q17:U17"/>
    <mergeCell ref="Q11:U11"/>
    <mergeCell ref="A26:J26"/>
    <mergeCell ref="M3:M4"/>
    <mergeCell ref="A30:J30"/>
    <mergeCell ref="Q10:U10"/>
    <mergeCell ref="Q16:U16"/>
    <mergeCell ref="Q8:U8"/>
    <mergeCell ref="A5:J5"/>
    <mergeCell ref="A14:J14"/>
    <mergeCell ref="Q5:U5"/>
    <mergeCell ref="A24:J24"/>
  </mergeCells>
  <conditionalFormatting sqref="K58">
    <cfRule type="containsText" dxfId="7" priority="1" operator="containsText" text="Très Bien">
      <formula>NOT(ISERROR(SEARCH("Très Bien",K58)))</formula>
    </cfRule>
    <cfRule type="containsText" dxfId="6" priority="2" operator="containsText" text="Bien">
      <formula>NOT(ISERROR(SEARCH("Bien",K58)))</formula>
    </cfRule>
    <cfRule type="containsText" dxfId="5" priority="3" operator="containsText" text="Très insuffisant">
      <formula>NOT(ISERROR(SEARCH("Très insuffisant",K58)))</formula>
    </cfRule>
    <cfRule type="containsText" dxfId="4" priority="4" operator="containsText" text="Insuffisant">
      <formula>NOT(ISERROR(SEARCH("Insuffisant",K58)))</formula>
    </cfRule>
  </conditionalFormatting>
  <pageMargins left="0.7" right="0.7" top="0.75" bottom="0.75" header="0.3" footer="0.3"/>
  <pageSetup paperSize="9" orientation="portrait" horizontalDpi="429496729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8"/>
  <sheetViews>
    <sheetView tabSelected="1" topLeftCell="C54" zoomScale="98" zoomScaleNormal="98" workbookViewId="0">
      <selection activeCell="M10" sqref="M10"/>
    </sheetView>
  </sheetViews>
  <sheetFormatPr baseColWidth="10" defaultColWidth="9.453125" defaultRowHeight="14.5" x14ac:dyDescent="0.35"/>
  <cols>
    <col min="10" max="10" width="10.453125" customWidth="1"/>
    <col min="11" max="11" width="9.453125" customWidth="1"/>
    <col min="12" max="12" width="41.453125" customWidth="1"/>
    <col min="13" max="13" width="18.54296875" customWidth="1"/>
    <col min="14" max="17" width="4.54296875" bestFit="1" customWidth="1"/>
    <col min="18" max="18" width="4.1796875" bestFit="1" customWidth="1"/>
  </cols>
  <sheetData>
    <row r="1" spans="1:22" ht="21" customHeight="1" x14ac:dyDescent="0.5">
      <c r="A1" s="30" t="s">
        <v>161</v>
      </c>
      <c r="B1" s="31"/>
      <c r="C1" s="31"/>
      <c r="D1" s="31"/>
      <c r="E1" s="31"/>
      <c r="F1" s="31"/>
      <c r="G1" s="31"/>
      <c r="H1" s="31"/>
      <c r="I1" s="31"/>
      <c r="J1" s="31"/>
    </row>
    <row r="2" spans="1:22" x14ac:dyDescent="0.35">
      <c r="M2" s="16" t="s">
        <v>1</v>
      </c>
      <c r="N2" s="16" t="s">
        <v>2</v>
      </c>
      <c r="O2" s="16" t="s">
        <v>3</v>
      </c>
      <c r="P2" s="16" t="s">
        <v>4</v>
      </c>
      <c r="Q2" s="16" t="s">
        <v>5</v>
      </c>
      <c r="R2" s="16" t="s">
        <v>6</v>
      </c>
    </row>
    <row r="3" spans="1:22" ht="14.5" customHeight="1" x14ac:dyDescent="0.35">
      <c r="A3" s="46" t="s">
        <v>7</v>
      </c>
      <c r="B3" s="31"/>
      <c r="C3" s="33" t="s">
        <v>133</v>
      </c>
      <c r="D3" s="31"/>
      <c r="E3" s="31"/>
      <c r="G3" s="28" t="s">
        <v>9</v>
      </c>
      <c r="K3" s="8" t="s">
        <v>162</v>
      </c>
      <c r="M3" s="38" t="s">
        <v>11</v>
      </c>
      <c r="N3" s="17">
        <f>IF($O$5=$N$5,TRUNC($N$14/$O$14),0)</f>
        <v>1</v>
      </c>
      <c r="O3" s="17">
        <f>IF($O$5=$N$5,TRUNC($N$20/$O$20),0)</f>
        <v>1</v>
      </c>
      <c r="P3" s="17">
        <f>IF($O$5=$N$5,TRUNC($N$27/$O$27),0)</f>
        <v>1</v>
      </c>
      <c r="Q3" s="17">
        <f>IF($O$5=$N$5,TRUNC($N$33/$O$33),0)</f>
        <v>1</v>
      </c>
      <c r="R3" s="17">
        <f>IF($O$5=$N$5,TRUNC($N$39/$O$39),0)</f>
        <v>1</v>
      </c>
    </row>
    <row r="4" spans="1:22" x14ac:dyDescent="0.35">
      <c r="A4" s="28" t="s">
        <v>12</v>
      </c>
      <c r="B4" s="28"/>
      <c r="C4" t="s">
        <v>135</v>
      </c>
      <c r="M4" s="31"/>
      <c r="N4" s="17"/>
      <c r="O4" s="17"/>
      <c r="P4" s="17"/>
      <c r="Q4" s="17"/>
      <c r="R4" s="17"/>
    </row>
    <row r="5" spans="1:22" ht="43.5" customHeight="1" x14ac:dyDescent="0.35">
      <c r="A5" s="40" t="s">
        <v>14</v>
      </c>
      <c r="B5" s="31"/>
      <c r="C5" s="31"/>
      <c r="D5" s="31"/>
      <c r="E5" s="31"/>
      <c r="F5" s="31"/>
      <c r="G5" s="31"/>
      <c r="H5" s="31"/>
      <c r="I5" s="31"/>
      <c r="J5" s="31"/>
      <c r="K5" s="5" t="s">
        <v>15</v>
      </c>
      <c r="L5" s="20" t="s">
        <v>16</v>
      </c>
      <c r="M5" s="6" t="s">
        <v>17</v>
      </c>
      <c r="N5" s="6">
        <f>SUM($K$7:$K$12)</f>
        <v>6</v>
      </c>
      <c r="O5" s="7">
        <v>6</v>
      </c>
      <c r="Q5" s="42" t="s">
        <v>18</v>
      </c>
      <c r="R5" s="31"/>
      <c r="S5" s="31"/>
      <c r="T5" s="31"/>
      <c r="U5" s="31"/>
    </row>
    <row r="6" spans="1:22" x14ac:dyDescent="0.35">
      <c r="A6" s="47" t="s">
        <v>19</v>
      </c>
      <c r="B6" s="31"/>
      <c r="C6" s="31"/>
      <c r="D6" s="31"/>
      <c r="E6" s="31"/>
      <c r="F6" s="31"/>
      <c r="G6" s="31"/>
      <c r="H6" s="31"/>
      <c r="I6" s="31"/>
      <c r="J6" s="31"/>
      <c r="K6" s="31"/>
    </row>
    <row r="7" spans="1:22" ht="36.75" customHeight="1" x14ac:dyDescent="0.35">
      <c r="A7" s="39" t="s">
        <v>20</v>
      </c>
      <c r="B7" s="31"/>
      <c r="C7" s="31"/>
      <c r="D7" s="31"/>
      <c r="E7" s="31"/>
      <c r="F7" s="31"/>
      <c r="G7" s="31"/>
      <c r="H7" s="31"/>
      <c r="I7" s="31"/>
      <c r="J7" s="31"/>
      <c r="K7">
        <v>1</v>
      </c>
      <c r="L7" s="19"/>
      <c r="Q7" s="34"/>
      <c r="R7" s="31"/>
      <c r="S7" s="31"/>
      <c r="T7" s="31"/>
      <c r="U7" s="31"/>
    </row>
    <row r="8" spans="1:22" ht="42.65" customHeight="1" x14ac:dyDescent="0.35">
      <c r="A8" s="39" t="s">
        <v>21</v>
      </c>
      <c r="B8" s="31"/>
      <c r="C8" s="31"/>
      <c r="D8" s="31"/>
      <c r="E8" s="31"/>
      <c r="F8" s="31"/>
      <c r="G8" s="31"/>
      <c r="H8" s="31"/>
      <c r="I8" s="31"/>
      <c r="J8" s="31"/>
      <c r="K8" s="15">
        <f>IF(N8&lt;=O8,1,0)</f>
        <v>1</v>
      </c>
      <c r="L8" s="19"/>
      <c r="M8" s="14" t="s">
        <v>22</v>
      </c>
      <c r="N8">
        <v>1</v>
      </c>
      <c r="O8" s="11">
        <v>3</v>
      </c>
      <c r="Q8" s="34"/>
      <c r="R8" s="31"/>
      <c r="S8" s="31"/>
      <c r="T8" s="31"/>
      <c r="U8" s="31"/>
    </row>
    <row r="9" spans="1:22" ht="30" customHeight="1" x14ac:dyDescent="0.35">
      <c r="A9" s="39" t="s">
        <v>23</v>
      </c>
      <c r="B9" s="31"/>
      <c r="C9" s="31"/>
      <c r="D9" s="31"/>
      <c r="E9" s="31"/>
      <c r="F9" s="31"/>
      <c r="G9" s="31"/>
      <c r="H9" s="31"/>
      <c r="I9" s="31"/>
      <c r="J9" s="31"/>
      <c r="K9">
        <v>1</v>
      </c>
      <c r="L9" s="19"/>
      <c r="Q9" s="34"/>
      <c r="R9" s="31"/>
      <c r="S9" s="31"/>
      <c r="T9" s="31"/>
      <c r="U9" s="31"/>
    </row>
    <row r="10" spans="1:22" ht="37.4" customHeight="1" x14ac:dyDescent="0.35">
      <c r="A10" s="39" t="s">
        <v>24</v>
      </c>
      <c r="B10" s="31"/>
      <c r="C10" s="31"/>
      <c r="D10" s="31"/>
      <c r="E10" s="31"/>
      <c r="F10" s="31"/>
      <c r="G10" s="31"/>
      <c r="H10" s="31"/>
      <c r="I10" s="31"/>
      <c r="J10" s="31"/>
      <c r="K10">
        <v>1</v>
      </c>
      <c r="L10" s="19"/>
      <c r="Q10" s="34"/>
      <c r="R10" s="31"/>
      <c r="S10" s="31"/>
      <c r="T10" s="31"/>
      <c r="U10" s="31"/>
    </row>
    <row r="11" spans="1:22" ht="36.75" customHeight="1" x14ac:dyDescent="0.35">
      <c r="A11" s="39" t="s">
        <v>25</v>
      </c>
      <c r="B11" s="31"/>
      <c r="C11" s="31"/>
      <c r="D11" s="31"/>
      <c r="E11" s="31"/>
      <c r="F11" s="31"/>
      <c r="G11" s="31"/>
      <c r="H11" s="31"/>
      <c r="I11" s="31"/>
      <c r="J11" s="31"/>
      <c r="K11">
        <v>1</v>
      </c>
      <c r="L11" s="19"/>
      <c r="Q11" s="34"/>
      <c r="R11" s="31"/>
      <c r="S11" s="31"/>
      <c r="T11" s="31"/>
      <c r="U11" s="31"/>
    </row>
    <row r="12" spans="1:22" ht="55.4" customHeight="1" x14ac:dyDescent="0.35">
      <c r="A12" s="39" t="s">
        <v>26</v>
      </c>
      <c r="B12" s="31"/>
      <c r="C12" s="31"/>
      <c r="D12" s="31"/>
      <c r="E12" s="31"/>
      <c r="F12" s="31"/>
      <c r="G12" s="31"/>
      <c r="H12" s="31"/>
      <c r="I12" s="31"/>
      <c r="J12" s="31"/>
      <c r="K12" s="15">
        <f>IF(N12&lt;=O12,1,0)</f>
        <v>1</v>
      </c>
      <c r="L12" s="18" t="s">
        <v>163</v>
      </c>
      <c r="M12" t="s">
        <v>28</v>
      </c>
      <c r="N12">
        <v>3</v>
      </c>
      <c r="O12" s="11">
        <v>3</v>
      </c>
      <c r="P12" s="10"/>
      <c r="Q12" s="36" t="s">
        <v>200</v>
      </c>
      <c r="R12" s="31"/>
      <c r="S12" s="31"/>
      <c r="T12" s="31"/>
      <c r="U12" s="31"/>
      <c r="V12" s="53" t="s">
        <v>201</v>
      </c>
    </row>
    <row r="13" spans="1:22" ht="27.65" customHeight="1" x14ac:dyDescent="0.35">
      <c r="A13" s="9"/>
      <c r="B13" s="9"/>
      <c r="C13" s="9"/>
      <c r="D13" s="9"/>
      <c r="E13" s="9"/>
      <c r="F13" s="9"/>
      <c r="G13" s="9"/>
      <c r="H13" s="9"/>
      <c r="I13" s="9"/>
      <c r="J13" s="9"/>
      <c r="K13" s="8"/>
      <c r="O13" s="13"/>
      <c r="P13" s="10"/>
      <c r="Q13" s="10"/>
      <c r="R13" s="10"/>
      <c r="S13" s="10"/>
      <c r="T13" s="10"/>
    </row>
    <row r="14" spans="1:22" x14ac:dyDescent="0.35">
      <c r="A14" s="41" t="s">
        <v>29</v>
      </c>
      <c r="B14" s="31"/>
      <c r="C14" s="31"/>
      <c r="D14" s="31"/>
      <c r="E14" s="31"/>
      <c r="F14" s="31"/>
      <c r="G14" s="31"/>
      <c r="H14" s="31"/>
      <c r="I14" s="31"/>
      <c r="J14" s="31"/>
      <c r="K14" s="1" t="s">
        <v>30</v>
      </c>
      <c r="M14" s="3" t="s">
        <v>31</v>
      </c>
      <c r="N14" s="3">
        <f>SUM($K$16:$K$19)</f>
        <v>4</v>
      </c>
      <c r="O14" s="3">
        <v>4</v>
      </c>
    </row>
    <row r="15" spans="1:22" x14ac:dyDescent="0.35">
      <c r="A15" s="44" t="s">
        <v>32</v>
      </c>
      <c r="B15" s="31"/>
      <c r="C15" s="31"/>
      <c r="D15" s="31"/>
      <c r="E15" s="31"/>
      <c r="F15" s="31"/>
      <c r="G15" s="31"/>
      <c r="H15" s="31"/>
      <c r="I15" s="31"/>
      <c r="J15" s="31"/>
      <c r="K15" s="31"/>
      <c r="M15" s="12"/>
      <c r="N15" s="12"/>
      <c r="O15" s="12"/>
    </row>
    <row r="16" spans="1:22" ht="82.5" customHeight="1" x14ac:dyDescent="0.35">
      <c r="A16" s="35" t="s">
        <v>33</v>
      </c>
      <c r="B16" s="31"/>
      <c r="C16" s="31"/>
      <c r="D16" s="31"/>
      <c r="E16" s="31"/>
      <c r="F16" s="31"/>
      <c r="G16" s="31"/>
      <c r="H16" s="31"/>
      <c r="I16" s="31"/>
      <c r="J16" s="31"/>
      <c r="K16">
        <v>1</v>
      </c>
      <c r="L16" s="18" t="s">
        <v>164</v>
      </c>
      <c r="M16" s="10"/>
      <c r="N16" s="10"/>
      <c r="O16" s="10"/>
      <c r="Q16" s="51"/>
      <c r="R16" s="31"/>
      <c r="S16" s="31"/>
      <c r="T16" s="31"/>
      <c r="U16" s="31"/>
    </row>
    <row r="17" spans="1:21" ht="75" customHeight="1" x14ac:dyDescent="0.35">
      <c r="A17" s="35" t="s">
        <v>35</v>
      </c>
      <c r="B17" s="31"/>
      <c r="C17" s="31"/>
      <c r="D17" s="31"/>
      <c r="E17" s="31"/>
      <c r="F17" s="31"/>
      <c r="G17" s="31"/>
      <c r="H17" s="31"/>
      <c r="I17" s="31"/>
      <c r="J17" s="31"/>
      <c r="K17">
        <v>1</v>
      </c>
      <c r="L17" s="18" t="s">
        <v>165</v>
      </c>
      <c r="Q17" s="51" t="s">
        <v>166</v>
      </c>
      <c r="R17" s="31"/>
      <c r="S17" s="31"/>
      <c r="T17" s="31"/>
      <c r="U17" s="31"/>
    </row>
    <row r="18" spans="1:21" ht="98.5" customHeight="1" x14ac:dyDescent="0.35">
      <c r="A18" s="35" t="s">
        <v>38</v>
      </c>
      <c r="B18" s="31"/>
      <c r="C18" s="31"/>
      <c r="D18" s="31"/>
      <c r="E18" s="31"/>
      <c r="F18" s="31"/>
      <c r="G18" s="31"/>
      <c r="H18" s="31"/>
      <c r="I18" s="31"/>
      <c r="J18" s="31"/>
      <c r="K18">
        <v>1</v>
      </c>
      <c r="L18" s="18" t="s">
        <v>167</v>
      </c>
      <c r="Q18" s="51"/>
      <c r="R18" s="31"/>
      <c r="S18" s="31"/>
      <c r="T18" s="31"/>
      <c r="U18" s="31"/>
    </row>
    <row r="19" spans="1:21" ht="60.75" customHeight="1" x14ac:dyDescent="0.35">
      <c r="A19" s="35" t="s">
        <v>39</v>
      </c>
      <c r="B19" s="31"/>
      <c r="C19" s="31"/>
      <c r="D19" s="31"/>
      <c r="E19" s="31"/>
      <c r="F19" s="31"/>
      <c r="G19" s="31"/>
      <c r="H19" s="31"/>
      <c r="I19" s="31"/>
      <c r="J19" s="31"/>
      <c r="K19">
        <v>1</v>
      </c>
      <c r="L19" s="18" t="s">
        <v>40</v>
      </c>
      <c r="Q19" s="34"/>
      <c r="R19" s="31"/>
      <c r="S19" s="31"/>
      <c r="T19" s="31"/>
      <c r="U19" s="31"/>
    </row>
    <row r="20" spans="1:21" x14ac:dyDescent="0.35">
      <c r="A20" s="41" t="s">
        <v>42</v>
      </c>
      <c r="B20" s="31"/>
      <c r="C20" s="31"/>
      <c r="D20" s="31"/>
      <c r="E20" s="31"/>
      <c r="F20" s="31"/>
      <c r="G20" s="31"/>
      <c r="H20" s="31"/>
      <c r="I20" s="31"/>
      <c r="J20" s="31"/>
      <c r="K20" s="1"/>
      <c r="M20" s="3" t="s">
        <v>43</v>
      </c>
      <c r="N20" s="3">
        <f>SUM($K$23:$K$26)</f>
        <v>4</v>
      </c>
      <c r="O20" s="4">
        <v>4</v>
      </c>
    </row>
    <row r="21" spans="1:21" x14ac:dyDescent="0.35">
      <c r="A21" s="44" t="s">
        <v>32</v>
      </c>
      <c r="B21" s="31"/>
      <c r="C21" s="31"/>
      <c r="D21" s="31"/>
      <c r="E21" s="31"/>
      <c r="F21" s="31"/>
      <c r="G21" s="31"/>
      <c r="H21" s="31"/>
      <c r="I21" s="31"/>
      <c r="J21" s="31"/>
      <c r="K21" s="31"/>
      <c r="M21" s="3"/>
      <c r="N21" s="3"/>
      <c r="O21" s="3"/>
    </row>
    <row r="22" spans="1:21" ht="59.25" customHeight="1" x14ac:dyDescent="0.35">
      <c r="A22" s="35" t="s">
        <v>44</v>
      </c>
      <c r="B22" s="31"/>
      <c r="C22" s="31"/>
      <c r="D22" s="31"/>
      <c r="E22" s="31"/>
      <c r="F22" s="31"/>
      <c r="G22" s="31"/>
      <c r="H22" s="31"/>
      <c r="I22" s="31"/>
      <c r="J22" s="31"/>
      <c r="K22">
        <v>1</v>
      </c>
      <c r="L22" s="18" t="s">
        <v>168</v>
      </c>
      <c r="M22" s="10"/>
      <c r="N22" s="10"/>
      <c r="O22" s="10"/>
      <c r="Q22" s="51" t="s">
        <v>169</v>
      </c>
      <c r="R22" s="31"/>
      <c r="S22" s="31"/>
      <c r="T22" s="31"/>
      <c r="U22" s="31"/>
    </row>
    <row r="23" spans="1:21" ht="56.5" customHeight="1" x14ac:dyDescent="0.35">
      <c r="A23" s="35" t="s">
        <v>47</v>
      </c>
      <c r="B23" s="31"/>
      <c r="C23" s="31"/>
      <c r="D23" s="31"/>
      <c r="E23" s="31"/>
      <c r="F23" s="31"/>
      <c r="G23" s="31"/>
      <c r="H23" s="31"/>
      <c r="I23" s="31"/>
      <c r="J23" s="31"/>
      <c r="K23">
        <v>1</v>
      </c>
      <c r="L23" s="18" t="s">
        <v>170</v>
      </c>
      <c r="Q23" s="34"/>
      <c r="R23" s="31"/>
      <c r="S23" s="31"/>
      <c r="T23" s="31"/>
      <c r="U23" s="31"/>
    </row>
    <row r="24" spans="1:21" ht="55.5" customHeight="1" x14ac:dyDescent="0.35">
      <c r="A24" s="35" t="s">
        <v>49</v>
      </c>
      <c r="B24" s="31"/>
      <c r="C24" s="31"/>
      <c r="D24" s="31"/>
      <c r="E24" s="31"/>
      <c r="F24" s="31"/>
      <c r="G24" s="31"/>
      <c r="H24" s="31"/>
      <c r="I24" s="31"/>
      <c r="J24" s="31"/>
      <c r="K24">
        <v>1</v>
      </c>
      <c r="L24" s="18" t="s">
        <v>171</v>
      </c>
      <c r="Q24" s="34"/>
      <c r="R24" s="31"/>
      <c r="S24" s="31"/>
      <c r="T24" s="31"/>
      <c r="U24" s="31"/>
    </row>
    <row r="25" spans="1:21" ht="69.75" customHeight="1" x14ac:dyDescent="0.35">
      <c r="A25" s="35" t="s">
        <v>51</v>
      </c>
      <c r="B25" s="31"/>
      <c r="C25" s="31"/>
      <c r="D25" s="31"/>
      <c r="E25" s="31"/>
      <c r="F25" s="31"/>
      <c r="G25" s="31"/>
      <c r="H25" s="31"/>
      <c r="I25" s="31"/>
      <c r="J25" s="31"/>
      <c r="K25">
        <v>1</v>
      </c>
      <c r="L25" s="18" t="s">
        <v>98</v>
      </c>
      <c r="Q25" s="34"/>
      <c r="R25" s="31"/>
      <c r="S25" s="31"/>
      <c r="T25" s="31"/>
      <c r="U25" s="31"/>
    </row>
    <row r="26" spans="1:21" ht="74.25" customHeight="1" x14ac:dyDescent="0.35">
      <c r="A26" s="35" t="s">
        <v>53</v>
      </c>
      <c r="B26" s="31"/>
      <c r="C26" s="31"/>
      <c r="D26" s="31"/>
      <c r="E26" s="31"/>
      <c r="F26" s="31"/>
      <c r="G26" s="31"/>
      <c r="H26" s="31"/>
      <c r="I26" s="31"/>
      <c r="J26" s="31"/>
      <c r="K26">
        <v>1</v>
      </c>
      <c r="L26" s="18" t="s">
        <v>172</v>
      </c>
      <c r="Q26" s="34"/>
      <c r="R26" s="31"/>
      <c r="S26" s="31"/>
      <c r="T26" s="31"/>
      <c r="U26" s="31"/>
    </row>
    <row r="27" spans="1:21" x14ac:dyDescent="0.35">
      <c r="A27" s="41" t="s">
        <v>55</v>
      </c>
      <c r="B27" s="31"/>
      <c r="C27" s="31"/>
      <c r="D27" s="31"/>
      <c r="E27" s="31"/>
      <c r="F27" s="31"/>
      <c r="G27" s="31"/>
      <c r="H27" s="31"/>
      <c r="I27" s="31"/>
      <c r="J27" s="31"/>
      <c r="K27" s="1"/>
      <c r="M27" s="3" t="s">
        <v>56</v>
      </c>
      <c r="N27" s="3">
        <f>SUM($K$29:$K32)</f>
        <v>4</v>
      </c>
      <c r="O27" s="4">
        <v>4</v>
      </c>
    </row>
    <row r="28" spans="1:21" x14ac:dyDescent="0.35">
      <c r="A28" s="44" t="s">
        <v>32</v>
      </c>
      <c r="B28" s="31"/>
      <c r="C28" s="31"/>
      <c r="D28" s="31"/>
      <c r="E28" s="31"/>
      <c r="F28" s="31"/>
      <c r="G28" s="31"/>
      <c r="H28" s="31"/>
      <c r="I28" s="31"/>
      <c r="J28" s="31"/>
      <c r="K28" s="31"/>
      <c r="M28" s="3"/>
      <c r="N28" s="3"/>
      <c r="O28" s="3"/>
    </row>
    <row r="29" spans="1:21" ht="87.65" customHeight="1" x14ac:dyDescent="0.35">
      <c r="A29" s="35" t="s">
        <v>57</v>
      </c>
      <c r="B29" s="31"/>
      <c r="C29" s="31"/>
      <c r="D29" s="31"/>
      <c r="E29" s="31"/>
      <c r="F29" s="31"/>
      <c r="G29" s="31"/>
      <c r="H29" s="31"/>
      <c r="I29" s="31"/>
      <c r="J29" s="31"/>
      <c r="K29">
        <v>1</v>
      </c>
      <c r="L29" s="18" t="s">
        <v>164</v>
      </c>
      <c r="Q29" s="51"/>
      <c r="R29" s="31"/>
      <c r="S29" s="31"/>
      <c r="T29" s="31"/>
      <c r="U29" s="31"/>
    </row>
    <row r="30" spans="1:21" ht="85.75" customHeight="1" x14ac:dyDescent="0.35">
      <c r="A30" s="39" t="s">
        <v>59</v>
      </c>
      <c r="B30" s="31"/>
      <c r="C30" s="31"/>
      <c r="D30" s="31"/>
      <c r="E30" s="31"/>
      <c r="F30" s="31"/>
      <c r="G30" s="31"/>
      <c r="H30" s="31"/>
      <c r="I30" s="31"/>
      <c r="J30" s="31"/>
      <c r="K30">
        <v>1</v>
      </c>
      <c r="L30" s="18" t="s">
        <v>164</v>
      </c>
      <c r="Q30" s="51"/>
      <c r="R30" s="31"/>
      <c r="S30" s="31"/>
      <c r="T30" s="31"/>
      <c r="U30" s="31"/>
    </row>
    <row r="31" spans="1:21" ht="99" customHeight="1" x14ac:dyDescent="0.35">
      <c r="A31" s="39" t="s">
        <v>60</v>
      </c>
      <c r="B31" s="31"/>
      <c r="C31" s="31"/>
      <c r="D31" s="31"/>
      <c r="E31" s="31"/>
      <c r="F31" s="31"/>
      <c r="G31" s="31"/>
      <c r="H31" s="31"/>
      <c r="I31" s="31"/>
      <c r="J31" s="31"/>
      <c r="K31">
        <v>1</v>
      </c>
      <c r="L31" s="18" t="s">
        <v>173</v>
      </c>
      <c r="Q31" s="34"/>
      <c r="R31" s="31"/>
      <c r="S31" s="31"/>
      <c r="T31" s="31"/>
      <c r="U31" s="31"/>
    </row>
    <row r="32" spans="1:21" ht="71.5" customHeight="1" x14ac:dyDescent="0.35">
      <c r="A32" s="52" t="s">
        <v>62</v>
      </c>
      <c r="B32" s="31"/>
      <c r="C32" s="31"/>
      <c r="D32" s="31"/>
      <c r="E32" s="31"/>
      <c r="F32" s="31"/>
      <c r="G32" s="31"/>
      <c r="H32" s="31"/>
      <c r="I32" s="31"/>
      <c r="J32" s="31"/>
      <c r="K32">
        <v>1</v>
      </c>
      <c r="L32" s="18" t="s">
        <v>174</v>
      </c>
    </row>
    <row r="33" spans="1:22" x14ac:dyDescent="0.35">
      <c r="A33" s="41" t="s">
        <v>64</v>
      </c>
      <c r="B33" s="31"/>
      <c r="C33" s="31"/>
      <c r="D33" s="31"/>
      <c r="E33" s="31"/>
      <c r="F33" s="31"/>
      <c r="G33" s="31"/>
      <c r="H33" s="31"/>
      <c r="I33" s="31"/>
      <c r="J33" s="31"/>
      <c r="K33" s="1"/>
      <c r="M33" s="3" t="s">
        <v>65</v>
      </c>
      <c r="N33" s="3">
        <f>SUM($K$35:$K39)</f>
        <v>4</v>
      </c>
      <c r="O33" s="4">
        <v>4</v>
      </c>
    </row>
    <row r="34" spans="1:22" x14ac:dyDescent="0.35">
      <c r="A34" s="44" t="s">
        <v>32</v>
      </c>
      <c r="B34" s="31"/>
      <c r="C34" s="31"/>
      <c r="D34" s="31"/>
      <c r="E34" s="31"/>
      <c r="F34" s="31"/>
      <c r="G34" s="31"/>
      <c r="H34" s="31"/>
      <c r="I34" s="31"/>
      <c r="J34" s="31"/>
      <c r="K34" s="31"/>
      <c r="M34" s="3"/>
      <c r="N34" s="3"/>
      <c r="O34" s="3"/>
    </row>
    <row r="35" spans="1:22" ht="49.4" customHeight="1" x14ac:dyDescent="0.35">
      <c r="A35" s="35" t="s">
        <v>66</v>
      </c>
      <c r="B35" s="31"/>
      <c r="C35" s="31"/>
      <c r="D35" s="31"/>
      <c r="E35" s="31"/>
      <c r="F35" s="31"/>
      <c r="G35" s="31"/>
      <c r="H35" s="31"/>
      <c r="I35" s="31"/>
      <c r="J35" s="31"/>
      <c r="K35">
        <v>1</v>
      </c>
      <c r="L35" s="18" t="s">
        <v>175</v>
      </c>
      <c r="M35" s="33"/>
      <c r="N35" s="31"/>
      <c r="O35" s="31"/>
      <c r="P35" s="31"/>
      <c r="Q35" s="31"/>
      <c r="R35" s="33"/>
      <c r="S35" s="31"/>
      <c r="T35" s="31"/>
      <c r="U35" s="31"/>
      <c r="V35" s="31"/>
    </row>
    <row r="36" spans="1:22" ht="54" customHeight="1" x14ac:dyDescent="0.35">
      <c r="A36" s="35" t="s">
        <v>68</v>
      </c>
      <c r="B36" s="31"/>
      <c r="C36" s="31"/>
      <c r="D36" s="31"/>
      <c r="E36" s="31"/>
      <c r="F36" s="31"/>
      <c r="G36" s="31"/>
      <c r="H36" s="31"/>
      <c r="I36" s="31"/>
      <c r="J36" s="31"/>
      <c r="K36">
        <v>1</v>
      </c>
      <c r="L36" s="18" t="s">
        <v>176</v>
      </c>
      <c r="M36" s="9"/>
      <c r="N36" s="9"/>
      <c r="O36" s="9"/>
      <c r="P36" s="9"/>
      <c r="Q36" s="34"/>
      <c r="R36" s="31"/>
      <c r="S36" s="31"/>
      <c r="T36" s="31"/>
      <c r="U36" s="31"/>
      <c r="V36" s="9"/>
    </row>
    <row r="37" spans="1:22" ht="28.4" customHeight="1" x14ac:dyDescent="0.35">
      <c r="A37" s="35" t="s">
        <v>70</v>
      </c>
      <c r="B37" s="31"/>
      <c r="C37" s="31"/>
      <c r="D37" s="31"/>
      <c r="E37" s="31"/>
      <c r="F37" s="31"/>
      <c r="G37" s="31"/>
      <c r="H37" s="31"/>
      <c r="I37" s="31"/>
      <c r="J37" s="31"/>
      <c r="K37">
        <v>1</v>
      </c>
      <c r="L37" s="19"/>
      <c r="M37" s="9"/>
      <c r="N37" s="9"/>
      <c r="O37" s="9"/>
      <c r="P37" s="9"/>
      <c r="Q37" s="34"/>
      <c r="R37" s="31"/>
      <c r="S37" s="31"/>
      <c r="T37" s="31"/>
      <c r="U37" s="31"/>
      <c r="V37" s="9"/>
    </row>
    <row r="38" spans="1:22" ht="28.4" customHeight="1" x14ac:dyDescent="0.35">
      <c r="A38" s="35" t="s">
        <v>71</v>
      </c>
      <c r="B38" s="31"/>
      <c r="C38" s="31"/>
      <c r="D38" s="31"/>
      <c r="E38" s="31"/>
      <c r="F38" s="31"/>
      <c r="G38" s="31"/>
      <c r="H38" s="31"/>
      <c r="I38" s="31"/>
      <c r="J38" s="31"/>
      <c r="K38">
        <v>1</v>
      </c>
      <c r="L38" s="19"/>
      <c r="M38" s="9"/>
      <c r="N38" s="9"/>
      <c r="O38" s="9"/>
      <c r="P38" s="9"/>
      <c r="Q38" s="34"/>
      <c r="R38" s="31"/>
      <c r="S38" s="31"/>
      <c r="T38" s="31"/>
      <c r="U38" s="31"/>
      <c r="V38" s="9"/>
    </row>
    <row r="39" spans="1:22" x14ac:dyDescent="0.35">
      <c r="A39" s="41" t="s">
        <v>72</v>
      </c>
      <c r="B39" s="31"/>
      <c r="C39" s="31"/>
      <c r="D39" s="31"/>
      <c r="E39" s="31"/>
      <c r="F39" s="31"/>
      <c r="G39" s="31"/>
      <c r="H39" s="31"/>
      <c r="I39" s="31"/>
      <c r="J39" s="31"/>
      <c r="K39" s="1"/>
      <c r="M39" s="3" t="s">
        <v>73</v>
      </c>
      <c r="N39" s="3">
        <f>SUM($K$41:$K44)</f>
        <v>4</v>
      </c>
      <c r="O39" s="4">
        <v>4</v>
      </c>
    </row>
    <row r="40" spans="1:22" x14ac:dyDescent="0.35">
      <c r="A40" s="44" t="s">
        <v>32</v>
      </c>
      <c r="B40" s="31"/>
      <c r="C40" s="31"/>
      <c r="D40" s="31"/>
      <c r="E40" s="31"/>
      <c r="F40" s="31"/>
      <c r="G40" s="31"/>
      <c r="H40" s="31"/>
      <c r="I40" s="31"/>
      <c r="J40" s="31"/>
      <c r="K40" s="31"/>
      <c r="M40" s="3"/>
      <c r="N40" s="3"/>
      <c r="O40" s="3"/>
    </row>
    <row r="41" spans="1:22" ht="69.650000000000006" customHeight="1" x14ac:dyDescent="0.35">
      <c r="A41" s="35" t="s">
        <v>74</v>
      </c>
      <c r="B41" s="31"/>
      <c r="C41" s="31"/>
      <c r="D41" s="31"/>
      <c r="E41" s="31"/>
      <c r="F41" s="31"/>
      <c r="G41" s="31"/>
      <c r="H41" s="31"/>
      <c r="I41" s="31"/>
      <c r="J41" s="31"/>
      <c r="K41">
        <v>1</v>
      </c>
      <c r="L41" s="18" t="s">
        <v>177</v>
      </c>
      <c r="Q41" s="51" t="s">
        <v>178</v>
      </c>
      <c r="R41" s="31"/>
      <c r="S41" s="31"/>
      <c r="T41" s="31"/>
      <c r="U41" s="31"/>
    </row>
    <row r="42" spans="1:22" ht="36" customHeight="1" x14ac:dyDescent="0.35">
      <c r="A42" s="35" t="s">
        <v>77</v>
      </c>
      <c r="B42" s="31"/>
      <c r="C42" s="31"/>
      <c r="D42" s="31"/>
      <c r="E42" s="31"/>
      <c r="F42" s="31"/>
      <c r="G42" s="31"/>
      <c r="H42" s="31"/>
      <c r="I42" s="31"/>
      <c r="J42" s="31"/>
      <c r="K42">
        <v>1</v>
      </c>
      <c r="L42" s="18" t="s">
        <v>179</v>
      </c>
      <c r="Q42" s="34"/>
      <c r="R42" s="31"/>
      <c r="S42" s="31"/>
      <c r="T42" s="31"/>
      <c r="U42" s="31"/>
    </row>
    <row r="43" spans="1:22" ht="36" customHeight="1" x14ac:dyDescent="0.35">
      <c r="A43" s="35" t="s">
        <v>79</v>
      </c>
      <c r="B43" s="31"/>
      <c r="C43" s="31"/>
      <c r="D43" s="31"/>
      <c r="E43" s="31"/>
      <c r="F43" s="31"/>
      <c r="G43" s="31"/>
      <c r="H43" s="31"/>
      <c r="I43" s="31"/>
      <c r="J43" s="31"/>
      <c r="K43">
        <v>1</v>
      </c>
      <c r="L43" s="18" t="s">
        <v>180</v>
      </c>
      <c r="Q43" s="34"/>
      <c r="R43" s="31"/>
      <c r="S43" s="31"/>
      <c r="T43" s="31"/>
      <c r="U43" s="31"/>
    </row>
    <row r="44" spans="1:22" ht="33" customHeight="1" x14ac:dyDescent="0.35">
      <c r="A44" s="35" t="s">
        <v>81</v>
      </c>
      <c r="B44" s="31"/>
      <c r="C44" s="31"/>
      <c r="D44" s="31"/>
      <c r="E44" s="31"/>
      <c r="F44" s="31"/>
      <c r="G44" s="31"/>
      <c r="H44" s="31"/>
      <c r="I44" s="31"/>
      <c r="J44" s="31"/>
      <c r="K44">
        <v>1</v>
      </c>
      <c r="L44" s="18" t="s">
        <v>181</v>
      </c>
      <c r="Q44" s="34"/>
      <c r="R44" s="31"/>
      <c r="S44" s="31"/>
      <c r="T44" s="31"/>
      <c r="U44" s="31"/>
    </row>
    <row r="45" spans="1:22" x14ac:dyDescent="0.35">
      <c r="A45" s="32" t="s">
        <v>83</v>
      </c>
      <c r="B45" s="31"/>
      <c r="C45" s="31"/>
      <c r="D45" s="31"/>
      <c r="E45" s="31"/>
      <c r="F45" s="31"/>
      <c r="G45" s="31"/>
      <c r="H45" s="31"/>
      <c r="I45" s="31"/>
      <c r="J45" s="31"/>
      <c r="K45" s="2"/>
      <c r="M45" s="3" t="s">
        <v>84</v>
      </c>
      <c r="N45" s="3">
        <f>IF(SUM($N$3:$R$3)=5,SUM($K$47:$K56),0)</f>
        <v>4</v>
      </c>
      <c r="O45" s="4">
        <v>10</v>
      </c>
    </row>
    <row r="46" spans="1:22" x14ac:dyDescent="0.35">
      <c r="A46" s="50" t="s">
        <v>85</v>
      </c>
      <c r="B46" s="31"/>
      <c r="C46" s="31"/>
      <c r="D46" s="31"/>
      <c r="E46" s="31"/>
      <c r="F46" s="31"/>
      <c r="G46" s="31"/>
      <c r="H46" s="31"/>
      <c r="I46" s="31"/>
      <c r="J46" s="31"/>
      <c r="K46" s="31"/>
      <c r="M46" s="3"/>
      <c r="N46" s="3"/>
      <c r="O46" s="3"/>
    </row>
    <row r="47" spans="1:22" x14ac:dyDescent="0.35">
      <c r="A47" s="33" t="s">
        <v>86</v>
      </c>
      <c r="B47" s="31"/>
      <c r="C47" s="31"/>
      <c r="D47" s="31"/>
      <c r="E47" s="31"/>
      <c r="F47" s="31"/>
      <c r="G47" s="31"/>
      <c r="H47" s="31"/>
      <c r="I47" s="31"/>
      <c r="J47" s="31"/>
      <c r="K47">
        <v>1</v>
      </c>
      <c r="L47" s="19"/>
      <c r="Q47" s="34"/>
      <c r="R47" s="31"/>
      <c r="S47" s="31"/>
      <c r="T47" s="31"/>
      <c r="U47" s="31"/>
    </row>
    <row r="48" spans="1:22" x14ac:dyDescent="0.35">
      <c r="A48" s="33" t="s">
        <v>87</v>
      </c>
      <c r="B48" s="31"/>
      <c r="C48" s="31"/>
      <c r="D48" s="31"/>
      <c r="E48" s="31"/>
      <c r="F48" s="31"/>
      <c r="G48" s="31"/>
      <c r="H48" s="31"/>
      <c r="I48" s="31"/>
      <c r="J48" s="31"/>
      <c r="K48">
        <v>0</v>
      </c>
      <c r="L48" s="19"/>
      <c r="Q48" s="34"/>
      <c r="R48" s="31"/>
      <c r="S48" s="31"/>
      <c r="T48" s="31"/>
      <c r="U48" s="31"/>
    </row>
    <row r="49" spans="1:21" ht="72" customHeight="1" x14ac:dyDescent="0.35">
      <c r="A49" s="39" t="s">
        <v>88</v>
      </c>
      <c r="B49" s="31"/>
      <c r="C49" s="31"/>
      <c r="D49" s="31"/>
      <c r="E49" s="31"/>
      <c r="F49" s="31"/>
      <c r="G49" s="31"/>
      <c r="H49" s="31"/>
      <c r="I49" s="31"/>
      <c r="J49" s="31"/>
      <c r="K49">
        <v>1</v>
      </c>
      <c r="L49" s="18" t="s">
        <v>182</v>
      </c>
      <c r="Q49" s="34"/>
      <c r="R49" s="31"/>
      <c r="S49" s="31"/>
      <c r="T49" s="31"/>
      <c r="U49" s="31"/>
    </row>
    <row r="50" spans="1:21" ht="48" customHeight="1" x14ac:dyDescent="0.35">
      <c r="A50" s="39" t="s">
        <v>90</v>
      </c>
      <c r="B50" s="31"/>
      <c r="C50" s="31"/>
      <c r="D50" s="31"/>
      <c r="E50" s="31"/>
      <c r="F50" s="31"/>
      <c r="G50" s="31"/>
      <c r="H50" s="31"/>
      <c r="I50" s="31"/>
      <c r="J50" s="31"/>
      <c r="K50">
        <v>1</v>
      </c>
      <c r="L50" s="18" t="s">
        <v>183</v>
      </c>
      <c r="Q50" s="34"/>
      <c r="R50" s="31"/>
      <c r="S50" s="31"/>
      <c r="T50" s="31"/>
      <c r="U50" s="31"/>
    </row>
    <row r="51" spans="1:21" ht="43.75" customHeight="1" x14ac:dyDescent="0.35">
      <c r="A51" s="39" t="s">
        <v>92</v>
      </c>
      <c r="B51" s="31"/>
      <c r="C51" s="31"/>
      <c r="D51" s="31"/>
      <c r="E51" s="31"/>
      <c r="F51" s="31"/>
      <c r="G51" s="31"/>
      <c r="H51" s="31"/>
      <c r="I51" s="31"/>
      <c r="J51" s="31"/>
      <c r="K51">
        <v>0</v>
      </c>
      <c r="L51" s="18" t="s">
        <v>129</v>
      </c>
      <c r="Q51" s="34"/>
      <c r="R51" s="31"/>
      <c r="S51" s="31"/>
      <c r="T51" s="31"/>
      <c r="U51" s="31"/>
    </row>
    <row r="52" spans="1:21" ht="24" customHeight="1" x14ac:dyDescent="0.35">
      <c r="A52" s="39" t="s">
        <v>93</v>
      </c>
      <c r="B52" s="31"/>
      <c r="C52" s="31"/>
      <c r="D52" s="31"/>
      <c r="E52" s="31"/>
      <c r="F52" s="31"/>
      <c r="G52" s="31"/>
      <c r="H52" s="31"/>
      <c r="I52" s="31"/>
      <c r="J52" s="31"/>
      <c r="K52">
        <v>0</v>
      </c>
      <c r="L52" s="18" t="s">
        <v>98</v>
      </c>
      <c r="Q52" s="34"/>
      <c r="R52" s="31"/>
      <c r="S52" s="31"/>
      <c r="T52" s="31"/>
      <c r="U52" s="31"/>
    </row>
    <row r="53" spans="1:21" ht="28.75" customHeight="1" x14ac:dyDescent="0.35">
      <c r="A53" s="39" t="s">
        <v>95</v>
      </c>
      <c r="B53" s="31"/>
      <c r="C53" s="31"/>
      <c r="D53" s="31"/>
      <c r="E53" s="31"/>
      <c r="F53" s="31"/>
      <c r="G53" s="31"/>
      <c r="H53" s="31"/>
      <c r="I53" s="31"/>
      <c r="J53" s="31"/>
      <c r="K53">
        <v>0</v>
      </c>
      <c r="L53" s="18"/>
      <c r="Q53" s="34"/>
      <c r="R53" s="31"/>
      <c r="S53" s="31"/>
      <c r="T53" s="31"/>
      <c r="U53" s="31"/>
    </row>
    <row r="54" spans="1:21" ht="93" customHeight="1" x14ac:dyDescent="0.35">
      <c r="A54" s="39" t="s">
        <v>97</v>
      </c>
      <c r="B54" s="31"/>
      <c r="C54" s="31"/>
      <c r="D54" s="31"/>
      <c r="E54" s="31"/>
      <c r="F54" s="31"/>
      <c r="G54" s="31"/>
      <c r="H54" s="31"/>
      <c r="I54" s="31"/>
      <c r="J54" s="31"/>
      <c r="K54">
        <v>0</v>
      </c>
      <c r="L54" s="18" t="s">
        <v>98</v>
      </c>
      <c r="Q54" s="34"/>
      <c r="R54" s="31"/>
      <c r="S54" s="31"/>
      <c r="T54" s="31"/>
      <c r="U54" s="31"/>
    </row>
    <row r="55" spans="1:21" ht="28.4" customHeight="1" x14ac:dyDescent="0.35">
      <c r="A55" s="39" t="s">
        <v>99</v>
      </c>
      <c r="B55" s="31"/>
      <c r="C55" s="31"/>
      <c r="D55" s="31"/>
      <c r="E55" s="31"/>
      <c r="F55" s="31"/>
      <c r="G55" s="31"/>
      <c r="H55" s="31"/>
      <c r="I55" s="31"/>
      <c r="J55" s="31"/>
      <c r="K55">
        <v>1</v>
      </c>
      <c r="L55" s="18" t="s">
        <v>184</v>
      </c>
      <c r="Q55" s="34"/>
      <c r="R55" s="31"/>
      <c r="S55" s="31"/>
      <c r="T55" s="31"/>
      <c r="U55" s="31"/>
    </row>
    <row r="56" spans="1:21" ht="36" customHeight="1" x14ac:dyDescent="0.35">
      <c r="A56" s="39" t="s">
        <v>100</v>
      </c>
      <c r="B56" s="31"/>
      <c r="C56" s="31"/>
      <c r="D56" s="31"/>
      <c r="E56" s="31"/>
      <c r="F56" s="31"/>
      <c r="G56" s="31"/>
      <c r="H56" s="31"/>
      <c r="I56" s="31"/>
      <c r="J56" s="31"/>
      <c r="K56">
        <v>0</v>
      </c>
      <c r="L56" s="18" t="s">
        <v>185</v>
      </c>
      <c r="Q56" s="34"/>
      <c r="R56" s="31"/>
      <c r="S56" s="31"/>
      <c r="T56" s="31"/>
      <c r="U56" s="31"/>
    </row>
    <row r="58" spans="1:21" x14ac:dyDescent="0.35">
      <c r="H58" s="33" t="s">
        <v>102</v>
      </c>
      <c r="I58" s="31"/>
      <c r="J58" s="31"/>
      <c r="K58" t="str">
        <f>IF($N$5&lt;$O$5,"Non-Recevable",IF(SUM($N$3:$R$3)&lt;3,"Très insuffisant",IF(SUM($N$3:$R$3)&lt;5,"Insuffisant",IF(SUM($K$47:$K$56)&lt;5,"Bien","Très Bien"))))</f>
        <v>Bien</v>
      </c>
      <c r="M58" s="33"/>
      <c r="N58" s="31"/>
      <c r="O58" s="31"/>
      <c r="P58" s="31"/>
      <c r="Q58" s="49"/>
      <c r="R58" s="31"/>
      <c r="S58" s="31"/>
      <c r="T58" s="31"/>
      <c r="U58" s="31"/>
    </row>
    <row r="59" spans="1:21" x14ac:dyDescent="0.35">
      <c r="H59" t="s">
        <v>103</v>
      </c>
    </row>
    <row r="60" spans="1:21" x14ac:dyDescent="0.35">
      <c r="H60" s="43"/>
      <c r="I60" s="31"/>
      <c r="J60" s="31"/>
      <c r="K60" s="31"/>
      <c r="L60" s="31"/>
      <c r="M60" s="31"/>
    </row>
    <row r="61" spans="1:21" x14ac:dyDescent="0.35">
      <c r="H61" s="31"/>
      <c r="I61" s="31"/>
      <c r="J61" s="31"/>
      <c r="K61" s="31"/>
      <c r="L61" s="31"/>
      <c r="M61" s="31"/>
    </row>
    <row r="62" spans="1:21" x14ac:dyDescent="0.35">
      <c r="H62" s="31"/>
      <c r="I62" s="31"/>
      <c r="J62" s="31"/>
      <c r="K62" s="31"/>
      <c r="L62" s="31"/>
      <c r="M62" s="31"/>
    </row>
    <row r="63" spans="1:21" x14ac:dyDescent="0.35">
      <c r="H63" s="31"/>
      <c r="I63" s="31"/>
      <c r="J63" s="31"/>
      <c r="K63" s="31"/>
      <c r="L63" s="31"/>
      <c r="M63" s="31"/>
    </row>
    <row r="64" spans="1:21" x14ac:dyDescent="0.35">
      <c r="H64" s="31"/>
      <c r="I64" s="31"/>
      <c r="J64" s="31"/>
      <c r="K64" s="31"/>
      <c r="L64" s="31"/>
      <c r="M64" s="31"/>
    </row>
    <row r="65" spans="8:13" x14ac:dyDescent="0.35">
      <c r="H65" s="31"/>
      <c r="I65" s="31"/>
      <c r="J65" s="31"/>
      <c r="K65" s="31"/>
      <c r="L65" s="31"/>
      <c r="M65" s="31"/>
    </row>
    <row r="66" spans="8:13" x14ac:dyDescent="0.35">
      <c r="H66" s="31"/>
      <c r="I66" s="31"/>
      <c r="J66" s="31"/>
      <c r="K66" s="31"/>
      <c r="L66" s="31"/>
      <c r="M66" s="31"/>
    </row>
    <row r="67" spans="8:13" x14ac:dyDescent="0.35">
      <c r="H67" s="31"/>
      <c r="I67" s="31"/>
      <c r="J67" s="31"/>
      <c r="K67" s="31"/>
      <c r="L67" s="31"/>
      <c r="M67" s="31"/>
    </row>
    <row r="68" spans="8:13" x14ac:dyDescent="0.35">
      <c r="H68" s="31"/>
      <c r="I68" s="31"/>
      <c r="J68" s="31"/>
      <c r="K68" s="31"/>
      <c r="L68" s="31"/>
      <c r="M68" s="31"/>
    </row>
  </sheetData>
  <mergeCells count="97">
    <mergeCell ref="Q58:U58"/>
    <mergeCell ref="A46:K46"/>
    <mergeCell ref="Q44:U44"/>
    <mergeCell ref="Q48:U48"/>
    <mergeCell ref="A50:J50"/>
    <mergeCell ref="A47:J47"/>
    <mergeCell ref="M58:P58"/>
    <mergeCell ref="Q53:U53"/>
    <mergeCell ref="A52:J52"/>
    <mergeCell ref="Q52:U52"/>
    <mergeCell ref="A49:J49"/>
    <mergeCell ref="A18:J18"/>
    <mergeCell ref="A23:J23"/>
    <mergeCell ref="A15:K15"/>
    <mergeCell ref="A55:J55"/>
    <mergeCell ref="H58:J58"/>
    <mergeCell ref="A28:K28"/>
    <mergeCell ref="A44:J44"/>
    <mergeCell ref="A42:J42"/>
    <mergeCell ref="A43:J43"/>
    <mergeCell ref="A36:J36"/>
    <mergeCell ref="Q23:U23"/>
    <mergeCell ref="Q56:U56"/>
    <mergeCell ref="A22:J22"/>
    <mergeCell ref="A20:J20"/>
    <mergeCell ref="Q24:U24"/>
    <mergeCell ref="Q26:U26"/>
    <mergeCell ref="Q47:U47"/>
    <mergeCell ref="A34:K34"/>
    <mergeCell ref="A25:J25"/>
    <mergeCell ref="Q41:U41"/>
    <mergeCell ref="Q25:U25"/>
    <mergeCell ref="Q37:U37"/>
    <mergeCell ref="Q29:U29"/>
    <mergeCell ref="Q38:U38"/>
    <mergeCell ref="Q31:U31"/>
    <mergeCell ref="R35:V35"/>
    <mergeCell ref="Q18:U18"/>
    <mergeCell ref="M35:Q35"/>
    <mergeCell ref="A51:J51"/>
    <mergeCell ref="Q51:U51"/>
    <mergeCell ref="A45:J45"/>
    <mergeCell ref="A32:J32"/>
    <mergeCell ref="Q43:U43"/>
    <mergeCell ref="A29:J29"/>
    <mergeCell ref="A38:J38"/>
    <mergeCell ref="Q42:U42"/>
    <mergeCell ref="A31:J31"/>
    <mergeCell ref="Q19:U19"/>
    <mergeCell ref="Q50:U50"/>
    <mergeCell ref="A19:J19"/>
    <mergeCell ref="A39:J39"/>
    <mergeCell ref="A48:J48"/>
    <mergeCell ref="A3:B3"/>
    <mergeCell ref="A8:J8"/>
    <mergeCell ref="Q12:U12"/>
    <mergeCell ref="A17:J17"/>
    <mergeCell ref="A10:J10"/>
    <mergeCell ref="A6:K6"/>
    <mergeCell ref="A9:J9"/>
    <mergeCell ref="A11:J11"/>
    <mergeCell ref="Q7:U7"/>
    <mergeCell ref="A7:J7"/>
    <mergeCell ref="A16:J16"/>
    <mergeCell ref="A12:J12"/>
    <mergeCell ref="H60:M68"/>
    <mergeCell ref="A21:K21"/>
    <mergeCell ref="Q49:U49"/>
    <mergeCell ref="Q22:U22"/>
    <mergeCell ref="A54:J54"/>
    <mergeCell ref="Q36:U36"/>
    <mergeCell ref="Q30:U30"/>
    <mergeCell ref="A41:J41"/>
    <mergeCell ref="A56:J56"/>
    <mergeCell ref="A27:J27"/>
    <mergeCell ref="A40:K40"/>
    <mergeCell ref="A33:J33"/>
    <mergeCell ref="A53:J53"/>
    <mergeCell ref="A35:J35"/>
    <mergeCell ref="Q54:U54"/>
    <mergeCell ref="Q55:U55"/>
    <mergeCell ref="A1:J1"/>
    <mergeCell ref="C3:E3"/>
    <mergeCell ref="Q9:U9"/>
    <mergeCell ref="A37:J37"/>
    <mergeCell ref="Q17:U17"/>
    <mergeCell ref="Q11:U11"/>
    <mergeCell ref="A26:J26"/>
    <mergeCell ref="M3:M4"/>
    <mergeCell ref="A30:J30"/>
    <mergeCell ref="Q10:U10"/>
    <mergeCell ref="Q16:U16"/>
    <mergeCell ref="Q8:U8"/>
    <mergeCell ref="A5:J5"/>
    <mergeCell ref="A14:J14"/>
    <mergeCell ref="Q5:U5"/>
    <mergeCell ref="A24:J24"/>
  </mergeCells>
  <conditionalFormatting sqref="K58">
    <cfRule type="containsText" dxfId="3" priority="1" operator="containsText" text="Très Bien">
      <formula>NOT(ISERROR(SEARCH("Très Bien",K58)))</formula>
    </cfRule>
    <cfRule type="containsText" dxfId="2" priority="2" operator="containsText" text="Bien">
      <formula>NOT(ISERROR(SEARCH("Bien",K58)))</formula>
    </cfRule>
    <cfRule type="containsText" dxfId="1" priority="3" operator="containsText" text="Très insuffisant">
      <formula>NOT(ISERROR(SEARCH("Très insuffisant",K58)))</formula>
    </cfRule>
    <cfRule type="containsText" dxfId="0" priority="4" operator="containsText" text="Insuffisant">
      <formula>NOT(ISERROR(SEARCH("Insuffisant",K58)))</formula>
    </cfRule>
  </conditionalFormatting>
  <pageMargins left="0.7" right="0.7" top="0.75" bottom="0.75" header="0.3" footer="0.3"/>
  <pageSetup paperSize="9" orientation="portrait" horizontalDpi="429496729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workbookViewId="0">
      <selection activeCell="G10" sqref="G10"/>
    </sheetView>
  </sheetViews>
  <sheetFormatPr baseColWidth="10" defaultRowHeight="14.5" x14ac:dyDescent="0.35"/>
  <cols>
    <col min="1" max="1" width="18" customWidth="1"/>
    <col min="2" max="6" width="4.1796875" bestFit="1" customWidth="1"/>
    <col min="7" max="7" width="17" customWidth="1"/>
  </cols>
  <sheetData>
    <row r="1" spans="1:7" x14ac:dyDescent="0.35">
      <c r="A1" t="s">
        <v>186</v>
      </c>
      <c r="B1" t="s">
        <v>187</v>
      </c>
    </row>
    <row r="3" spans="1:7" x14ac:dyDescent="0.35">
      <c r="B3" t="s">
        <v>188</v>
      </c>
      <c r="C3" t="s">
        <v>189</v>
      </c>
      <c r="D3" t="s">
        <v>190</v>
      </c>
      <c r="E3" t="s">
        <v>191</v>
      </c>
      <c r="F3" t="s">
        <v>6</v>
      </c>
      <c r="G3" s="23" t="s">
        <v>192</v>
      </c>
    </row>
    <row r="4" spans="1:7" x14ac:dyDescent="0.35">
      <c r="A4" t="s">
        <v>193</v>
      </c>
      <c r="B4" s="27">
        <f>'Eval 3'!N3</f>
        <v>0</v>
      </c>
      <c r="C4" s="27">
        <f>'Eval 3'!O3</f>
        <v>0</v>
      </c>
      <c r="D4" s="27">
        <f>'Eval 3'!P3</f>
        <v>0</v>
      </c>
      <c r="E4" s="27">
        <f>'Eval 3'!Q3</f>
        <v>0</v>
      </c>
      <c r="F4" s="27">
        <f>'Eval 3'!R3</f>
        <v>0</v>
      </c>
      <c r="G4" s="23">
        <f>SUM($B4:$F4)</f>
        <v>0</v>
      </c>
    </row>
    <row r="5" spans="1:7" x14ac:dyDescent="0.35">
      <c r="A5" t="s">
        <v>194</v>
      </c>
      <c r="B5" s="27">
        <f>'Eval 4'!N3</f>
        <v>1</v>
      </c>
      <c r="C5" s="27">
        <f>'Eval 4'!O3</f>
        <v>1</v>
      </c>
      <c r="D5" s="27">
        <f>'Eval 4'!P3</f>
        <v>1</v>
      </c>
      <c r="E5" s="27">
        <f>'Eval 4'!Q3</f>
        <v>1</v>
      </c>
      <c r="F5" s="27">
        <f>'Eval 4'!R3</f>
        <v>1</v>
      </c>
      <c r="G5" s="23">
        <f>SUM($B5:$F5)</f>
        <v>5</v>
      </c>
    </row>
    <row r="6" spans="1:7" x14ac:dyDescent="0.35">
      <c r="A6" t="s">
        <v>195</v>
      </c>
      <c r="B6" s="26">
        <v>0</v>
      </c>
      <c r="C6" s="26">
        <v>0</v>
      </c>
      <c r="D6" s="26">
        <v>0</v>
      </c>
      <c r="E6" s="26">
        <v>0</v>
      </c>
      <c r="F6" s="26">
        <v>0</v>
      </c>
      <c r="G6" s="23">
        <f>SUM($B6:$F6)</f>
        <v>0</v>
      </c>
    </row>
    <row r="7" spans="1:7" x14ac:dyDescent="0.35">
      <c r="A7" s="23" t="s">
        <v>196</v>
      </c>
      <c r="B7" s="23">
        <f>SUM(B$4:B$6)</f>
        <v>1</v>
      </c>
      <c r="C7" s="23">
        <f>SUM(C$4:C$6)</f>
        <v>1</v>
      </c>
      <c r="D7" s="23">
        <f>SUM(D$4:D$6)</f>
        <v>1</v>
      </c>
      <c r="E7" s="23">
        <f>SUM(E$4:E$6)</f>
        <v>1</v>
      </c>
      <c r="F7" s="23">
        <f>SUM(F$4:F$6)</f>
        <v>1</v>
      </c>
      <c r="G7" s="24">
        <f>SUM($B7:$F7)</f>
        <v>5</v>
      </c>
    </row>
    <row r="9" spans="1:7" x14ac:dyDescent="0.35">
      <c r="A9" t="s">
        <v>197</v>
      </c>
      <c r="G9" s="25">
        <f>IF(G7&lt;10,G7,10+SUM('Eval 3'!K47:K56,'Eval 4'!K47:K56)/2)</f>
        <v>5</v>
      </c>
    </row>
    <row r="10" spans="1:7" x14ac:dyDescent="0.35">
      <c r="A10" t="s">
        <v>198</v>
      </c>
      <c r="G10" s="26">
        <v>0</v>
      </c>
    </row>
    <row r="11" spans="1:7" x14ac:dyDescent="0.35">
      <c r="A11" t="s">
        <v>199</v>
      </c>
      <c r="G11" s="24">
        <f>G9+G10</f>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Eval 1</vt:lpstr>
      <vt:lpstr>Eval 2</vt:lpstr>
      <vt:lpstr>Eval 3</vt:lpstr>
      <vt:lpstr>Eval 4</vt:lpstr>
      <vt:lpstr>recapitulatif 1s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Christiane Mathy</dc:creator>
  <cp:lastModifiedBy>Badr BOUZIA</cp:lastModifiedBy>
  <dcterms:created xsi:type="dcterms:W3CDTF">2020-04-19T09:49:47Z</dcterms:created>
  <dcterms:modified xsi:type="dcterms:W3CDTF">2023-12-29T22:57:03Z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0x01010039BB71AD78050141888622C146F84AC2</vt:lpwstr>
  </property>
  <property fmtid="{D5CDD505-2E9C-101B-9397-08002B2CF9AE}" pid="3" name="MediaServiceImageTags">
    <vt:lpwstr/>
  </property>
</Properties>
</file>